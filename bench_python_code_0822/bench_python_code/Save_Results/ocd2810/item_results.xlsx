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8" windowHeight="12300" tabRatio="600" firstSheet="0" activeTab="0" autoFilterDateGrouping="1"/>
  </bookViews>
  <sheets>
    <sheet xmlns:r="http://schemas.openxmlformats.org/officeDocument/2006/relationships" name="汇总一览表" sheetId="1" state="visible" r:id="rId1"/>
    <sheet xmlns:r="http://schemas.openxmlformats.org/officeDocument/2006/relationships" name="ADC_DNL" sheetId="2" state="visible" r:id="rId2"/>
    <sheet xmlns:r="http://schemas.openxmlformats.org/officeDocument/2006/relationships" name="COMP0HYS" sheetId="3" state="visible" r:id="rId3"/>
    <sheet xmlns:r="http://schemas.openxmlformats.org/officeDocument/2006/relationships" name="COMP0HYS2" sheetId="4" state="visible" r:id="rId4"/>
    <sheet xmlns:r="http://schemas.openxmlformats.org/officeDocument/2006/relationships" name="COMP1HYS" sheetId="5" state="visible" r:id="rId5"/>
    <sheet xmlns:r="http://schemas.openxmlformats.org/officeDocument/2006/relationships" name="COMP1HYS2" sheetId="6" state="visible" r:id="rId6"/>
    <sheet xmlns:r="http://schemas.openxmlformats.org/officeDocument/2006/relationships" name="COMP2HYS" sheetId="7" state="visible" r:id="rId7"/>
    <sheet xmlns:r="http://schemas.openxmlformats.org/officeDocument/2006/relationships" name="COMP2HYS2" sheetId="8" state="visible" r:id="rId8"/>
    <sheet xmlns:r="http://schemas.openxmlformats.org/officeDocument/2006/relationships" name="COMP4HYS" sheetId="9" state="visible" r:id="rId9"/>
    <sheet xmlns:r="http://schemas.openxmlformats.org/officeDocument/2006/relationships" name="COMP5HYS" sheetId="10" state="visible" r:id="rId10"/>
    <sheet xmlns:r="http://schemas.openxmlformats.org/officeDocument/2006/relationships" name="DAC0_DNL" sheetId="11" state="visible" r:id="rId11"/>
    <sheet xmlns:r="http://schemas.openxmlformats.org/officeDocument/2006/relationships" name="DAC1_DNL" sheetId="12" state="visible" r:id="rId12"/>
    <sheet xmlns:r="http://schemas.openxmlformats.org/officeDocument/2006/relationships" name="IUerror" sheetId="13" state="visible" r:id="rId13"/>
    <sheet xmlns:r="http://schemas.openxmlformats.org/officeDocument/2006/relationships" name="IVerror" sheetId="14" state="visible" r:id="rId14"/>
    <sheet xmlns:r="http://schemas.openxmlformats.org/officeDocument/2006/relationships" name="IWerror" sheetId="15" state="visible" r:id="rId15"/>
    <sheet xmlns:r="http://schemas.openxmlformats.org/officeDocument/2006/relationships" name="OSC_24M" sheetId="16" state="visible" r:id="rId16"/>
    <sheet xmlns:r="http://schemas.openxmlformats.org/officeDocument/2006/relationships" name="OSC_33K" sheetId="17" state="visible" r:id="rId17"/>
    <sheet xmlns:r="http://schemas.openxmlformats.org/officeDocument/2006/relationships" name="VAZ0" sheetId="18" state="visible" r:id="rId18"/>
    <sheet xmlns:r="http://schemas.openxmlformats.org/officeDocument/2006/relationships" name="VAZ1" sheetId="19" state="visible" r:id="rId19"/>
    <sheet xmlns:r="http://schemas.openxmlformats.org/officeDocument/2006/relationships" name="VAZ2" sheetId="20" state="visible" r:id="rId20"/>
    <sheet xmlns:r="http://schemas.openxmlformats.org/officeDocument/2006/relationships" name="VBG" sheetId="21" state="visible" r:id="rId21"/>
    <sheet xmlns:r="http://schemas.openxmlformats.org/officeDocument/2006/relationships" name="VHALF" sheetId="22" state="visible" r:id="rId22"/>
    <sheet xmlns:r="http://schemas.openxmlformats.org/officeDocument/2006/relationships" name="VPTAT" sheetId="23" state="visible" r:id="rId23"/>
    <sheet xmlns:r="http://schemas.openxmlformats.org/officeDocument/2006/relationships" name="VREF" sheetId="24" state="visible" r:id="rId24"/>
    <sheet xmlns:r="http://schemas.openxmlformats.org/officeDocument/2006/relationships" name="VS_ERROR" sheetId="25" state="visible" r:id="rId25"/>
    <sheet xmlns:r="http://schemas.openxmlformats.org/officeDocument/2006/relationships" name="VUerror" sheetId="26" state="visible" r:id="rId26"/>
    <sheet xmlns:r="http://schemas.openxmlformats.org/officeDocument/2006/relationships" name="VWerror" sheetId="27" state="visible" r:id="rId27"/>
    <sheet xmlns:r="http://schemas.openxmlformats.org/officeDocument/2006/relationships" name="Voffset" sheetId="28" state="visible" r:id="rId2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theme="1"/>
      <sz val="14"/>
      <scheme val="minor"/>
    </font>
    <font>
      <name val="宋体"/>
      <charset val="134"/>
      <sz val="14"/>
      <scheme val="minor"/>
    </font>
    <font>
      <name val="等线"/>
      <charset val="134"/>
      <b val="1"/>
      <color rgb="FF000000"/>
      <sz val="11"/>
    </font>
    <font>
      <name val="Microsoft YaHei"/>
      <charset val="134"/>
      <color theme="1"/>
      <sz val="10"/>
    </font>
    <font>
      <name val="Microsoft YaHei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Microsoft YaHei"/>
      <charset val="134"/>
      <sz val="10"/>
    </font>
    <font>
      <name val="Microsoft YaHei"/>
      <charset val="134"/>
      <color rgb="FFEE0000"/>
      <sz val="10"/>
    </font>
    <font>
      <name val="Times New Roman"/>
      <charset val="134"/>
      <color theme="1"/>
      <sz val="10.5"/>
    </font>
    <font>
      <name val="等线"/>
      <charset val="134"/>
      <color rgb="FF000000"/>
      <sz val="11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0" fillId="4" borderId="1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" applyAlignment="1">
      <alignment vertical="center"/>
    </xf>
    <xf numFmtId="0" fontId="16" fillId="0" borderId="2" applyAlignment="1">
      <alignment vertical="center"/>
    </xf>
    <xf numFmtId="0" fontId="17" fillId="0" borderId="3" applyAlignment="1">
      <alignment vertical="center"/>
    </xf>
    <xf numFmtId="0" fontId="17" fillId="0" borderId="0" applyAlignment="1">
      <alignment vertical="center"/>
    </xf>
    <xf numFmtId="0" fontId="18" fillId="5" borderId="4" applyAlignment="1">
      <alignment vertical="center"/>
    </xf>
    <xf numFmtId="0" fontId="19" fillId="6" borderId="5" applyAlignment="1">
      <alignment vertical="center"/>
    </xf>
    <xf numFmtId="0" fontId="20" fillId="6" borderId="4" applyAlignment="1">
      <alignment vertical="center"/>
    </xf>
    <xf numFmtId="0" fontId="21" fillId="7" borderId="6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6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6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tabSelected="1" zoomScale="115" zoomScaleNormal="115" workbookViewId="0">
      <pane ySplit="1" topLeftCell="A2" activePane="bottomLeft" state="frozen"/>
      <selection activeCell="A1" sqref="A1"/>
      <selection pane="bottomLeft" activeCell="H5" sqref="H5"/>
    </sheetView>
  </sheetViews>
  <sheetFormatPr baseColWidth="8" defaultColWidth="9" defaultRowHeight="14.4" outlineLevelCol="0"/>
  <cols>
    <col width="31.2037037037037" customWidth="1" style="3" min="1" max="1"/>
    <col width="17.3888888888889" customWidth="1" style="3" min="2" max="2"/>
    <col width="13.712962962963" customWidth="1" style="3" min="3" max="4"/>
    <col width="12.0462962962963" customWidth="1" style="3" min="5" max="6"/>
    <col width="9.824074074074071" customWidth="1" style="3" min="7" max="7"/>
    <col width="31.2037037037037" customWidth="1" style="3" min="8" max="8"/>
    <col width="9" customWidth="1" style="3" min="9" max="16384"/>
  </cols>
  <sheetData>
    <row r="1" ht="17.4" customHeight="1" s="16">
      <c r="A1" s="5" t="inlineStr">
        <is>
          <t>测试项</t>
        </is>
      </c>
      <c r="B1" s="5" t="inlineStr">
        <is>
          <t>测试是否通过</t>
        </is>
      </c>
      <c r="C1" s="5" t="inlineStr">
        <is>
          <t>Actual.</t>
        </is>
      </c>
      <c r="D1" s="5" t="inlineStr">
        <is>
          <t>Min.</t>
        </is>
      </c>
      <c r="E1" s="5" t="inlineStr">
        <is>
          <t>Typ.</t>
        </is>
      </c>
      <c r="F1" s="5" t="inlineStr">
        <is>
          <t>Max.</t>
        </is>
      </c>
      <c r="G1" s="5" t="inlineStr">
        <is>
          <t>Unit</t>
        </is>
      </c>
      <c r="H1" s="5" t="inlineStr">
        <is>
          <t>测试过程</t>
        </is>
      </c>
    </row>
    <row r="2" ht="22.5" customFormat="1" customHeight="1" s="2">
      <c r="A2" s="6" t="inlineStr">
        <is>
          <t>5.3 OSC33K测试校准</t>
        </is>
      </c>
      <c r="B2" s="6" t="n"/>
      <c r="C2" s="6" t="n"/>
      <c r="D2" s="6" t="n"/>
      <c r="E2" s="6" t="n"/>
      <c r="F2" s="6" t="n"/>
      <c r="G2" s="6" t="n"/>
      <c r="H2" s="6" t="n"/>
    </row>
    <row r="3" ht="22.5" customFormat="1" customHeight="1" s="3">
      <c r="A3" s="7" t="inlineStr">
        <is>
          <t>OSC_33K</t>
        </is>
      </c>
      <c r="B3" s="8" t="inlineStr">
        <is>
          <t>fail</t>
        </is>
      </c>
      <c r="C3" s="7" t="inlineStr">
        <is>
          <t>2245.5</t>
        </is>
      </c>
      <c r="D3" s="7" t="n">
        <v>32.44</v>
      </c>
      <c r="E3" s="7" t="n">
        <v>32.768</v>
      </c>
      <c r="F3" s="7" t="n">
        <v>33.095</v>
      </c>
      <c r="G3" s="7" t="inlineStr">
        <is>
          <t>KHz</t>
        </is>
      </c>
      <c r="H3" s="9">
        <f>HYPERLINK("#'OSC_33K'!A1","OSC_33K")</f>
        <v/>
      </c>
    </row>
    <row r="4" ht="22.5" customHeight="1" s="16">
      <c r="A4" s="10" t="n"/>
      <c r="B4" s="10" t="n"/>
      <c r="C4" s="10" t="n"/>
      <c r="D4" s="10" t="n"/>
      <c r="E4" s="10" t="n"/>
      <c r="F4" s="10" t="n"/>
      <c r="G4" s="10" t="n"/>
      <c r="H4" s="10" t="n"/>
    </row>
    <row r="5" ht="22.5" customHeight="1" s="16">
      <c r="A5" s="10" t="n"/>
      <c r="B5" s="10" t="n"/>
      <c r="C5" s="10" t="n"/>
      <c r="D5" s="10" t="n"/>
      <c r="E5" s="10" t="n"/>
      <c r="F5" s="10" t="n"/>
      <c r="G5" s="10" t="n"/>
      <c r="H5" s="10" t="n"/>
    </row>
    <row r="6" ht="22.5" customFormat="1" customHeight="1" s="2">
      <c r="A6" s="6" t="inlineStr">
        <is>
          <t>5.4OSC24M测试校准</t>
        </is>
      </c>
      <c r="B6" s="6" t="n"/>
      <c r="C6" s="6" t="n"/>
      <c r="D6" s="6" t="n"/>
      <c r="E6" s="6" t="n"/>
      <c r="F6" s="6" t="n"/>
      <c r="G6" s="6" t="n"/>
      <c r="H6" s="6" t="n"/>
    </row>
    <row r="7" ht="22.5" customFormat="1" customHeight="1" s="3">
      <c r="A7" s="7" t="inlineStr">
        <is>
          <t>OSC_24M</t>
        </is>
      </c>
      <c r="B7" s="7" t="inlineStr">
        <is>
          <t>pass</t>
        </is>
      </c>
      <c r="C7" s="7" t="inlineStr">
        <is>
          <t>11.758</t>
        </is>
      </c>
      <c r="D7" s="7" t="n">
        <v>11.6015</v>
      </c>
      <c r="E7" s="7" t="n">
        <v>11.7875</v>
      </c>
      <c r="F7" s="7" t="n">
        <v>11.8359</v>
      </c>
      <c r="G7" s="7" t="inlineStr">
        <is>
          <t>KHz</t>
        </is>
      </c>
      <c r="H7" s="9">
        <f>HYPERLINK("#'OSC_24M'!A1","OSC_24M")</f>
        <v/>
      </c>
    </row>
    <row r="8" ht="22.5" customHeight="1" s="16">
      <c r="A8" s="10" t="n"/>
      <c r="B8" s="10" t="n"/>
      <c r="C8" s="10" t="n"/>
      <c r="D8" s="10" t="n"/>
      <c r="E8" s="10" t="n"/>
      <c r="F8" s="10" t="n"/>
      <c r="G8" s="10" t="n"/>
      <c r="H8" s="10" t="n"/>
    </row>
    <row r="9" ht="22.5" customHeight="1" s="16">
      <c r="A9" s="10" t="n"/>
      <c r="B9" s="10" t="n"/>
      <c r="C9" s="10" t="n"/>
      <c r="D9" s="10" t="n"/>
      <c r="E9" s="10" t="n"/>
      <c r="F9" s="10" t="n"/>
      <c r="G9" s="10" t="n"/>
      <c r="H9" s="10" t="n"/>
    </row>
    <row r="10" ht="22.5" customFormat="1" customHeight="1" s="2">
      <c r="A10" s="6" t="inlineStr">
        <is>
          <t>5.6 Bandgap&amp;VPTAT测试TRIM</t>
        </is>
      </c>
      <c r="B10" s="6" t="n"/>
      <c r="C10" s="6" t="n"/>
      <c r="D10" s="6" t="n"/>
      <c r="E10" s="6" t="n"/>
      <c r="F10" s="6" t="n"/>
      <c r="G10" s="6" t="n"/>
      <c r="H10" s="6" t="n"/>
    </row>
    <row r="11" ht="22.5" customFormat="1" customHeight="1" s="3">
      <c r="A11" s="7" t="inlineStr">
        <is>
          <t>VBG</t>
        </is>
      </c>
      <c r="B11" s="8" t="inlineStr">
        <is>
          <t>pass</t>
        </is>
      </c>
      <c r="C11" s="7" t="inlineStr">
        <is>
          <t>1206.12</t>
        </is>
      </c>
      <c r="D11" s="7" t="n">
        <v>1190</v>
      </c>
      <c r="E11" s="7" t="n">
        <v>1210</v>
      </c>
      <c r="F11" s="7" t="n">
        <v>1230</v>
      </c>
      <c r="G11" s="7" t="inlineStr">
        <is>
          <t>mV</t>
        </is>
      </c>
      <c r="H11" s="9">
        <f>HYPERLINK("#'VBG'!A1","VBG")</f>
        <v/>
      </c>
    </row>
    <row r="12" ht="22.5" customFormat="1" customHeight="1" s="3">
      <c r="A12" s="7" t="inlineStr">
        <is>
          <t>VPTAT</t>
        </is>
      </c>
      <c r="B12" s="8" t="inlineStr">
        <is>
          <t>pass</t>
        </is>
      </c>
      <c r="C12" s="7" t="inlineStr">
        <is>
          <t>658.8</t>
        </is>
      </c>
      <c r="D12" s="7" t="n"/>
      <c r="E12" s="7" t="n">
        <v>650</v>
      </c>
      <c r="F12" s="7" t="n"/>
      <c r="G12" s="7" t="inlineStr">
        <is>
          <t>mV</t>
        </is>
      </c>
      <c r="H12" s="9">
        <f>HYPERLINK("#'VPTAT'!A1","VPTAT")</f>
        <v/>
      </c>
    </row>
    <row r="13" ht="22.5" customHeight="1" s="16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 ht="22.5" customHeight="1" s="16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 ht="22.5" customFormat="1" customHeight="1" s="4">
      <c r="A15" s="11" t="inlineStr">
        <is>
          <t>5.7 VREF&amp;VHALF测试TRIM</t>
        </is>
      </c>
      <c r="B15" s="11" t="n"/>
      <c r="C15" s="11" t="n"/>
      <c r="D15" s="11" t="n"/>
      <c r="E15" s="11" t="n"/>
      <c r="F15" s="11" t="n"/>
      <c r="G15" s="11" t="n"/>
      <c r="H15" s="11" t="n"/>
    </row>
    <row r="16" ht="22.5" customFormat="1" customHeight="1" s="3">
      <c r="A16" s="7" t="inlineStr">
        <is>
          <t>VREF</t>
        </is>
      </c>
      <c r="B16" s="8" t="inlineStr">
        <is>
          <t>pass</t>
        </is>
      </c>
      <c r="C16" s="7" t="inlineStr">
        <is>
          <t>4000.95</t>
        </is>
      </c>
      <c r="D16" s="7" t="n">
        <v>3995</v>
      </c>
      <c r="E16" s="7" t="n">
        <v>4000</v>
      </c>
      <c r="F16" s="7" t="n">
        <v>4005</v>
      </c>
      <c r="G16" s="7" t="inlineStr">
        <is>
          <t>mV</t>
        </is>
      </c>
      <c r="H16" s="9">
        <f>HYPERLINK("#'VREF'!A1","VREF")</f>
        <v/>
      </c>
    </row>
    <row r="17" ht="22.5" customHeight="1" s="16">
      <c r="A17" s="7" t="inlineStr">
        <is>
          <t>VHALF(这个可以不用测)</t>
        </is>
      </c>
      <c r="B17" s="8" t="n"/>
      <c r="C17" s="7" t="n"/>
      <c r="D17" s="7" t="n">
        <v>1900</v>
      </c>
      <c r="E17" s="7" t="n">
        <v>2000</v>
      </c>
      <c r="F17" s="7" t="n">
        <v>2100</v>
      </c>
      <c r="G17" s="7" t="inlineStr">
        <is>
          <t>mV</t>
        </is>
      </c>
      <c r="H17" s="9">
        <f>HYPERLINK("#'VHALF'!A1","VHALF")</f>
        <v/>
      </c>
    </row>
    <row r="18" ht="22.5" customHeight="1" s="16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 ht="22.5" customHeight="1" s="16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 ht="22.5" customFormat="1" customHeight="1" s="2">
      <c r="A20" s="6" t="inlineStr">
        <is>
          <t>5.8 DAC0,DAC1测试</t>
        </is>
      </c>
      <c r="B20" s="6" t="n"/>
      <c r="C20" s="6" t="n"/>
      <c r="D20" s="6" t="n"/>
      <c r="E20" s="6" t="n"/>
      <c r="F20" s="6" t="n"/>
      <c r="G20" s="6" t="n"/>
      <c r="H20" s="6" t="n"/>
    </row>
    <row r="21" ht="30" customFormat="1" customHeight="1" s="3">
      <c r="A21" s="7" t="inlineStr">
        <is>
          <t>DAC0_DNL</t>
        </is>
      </c>
      <c r="B21" s="12" t="inlineStr">
        <is>
          <t>FAIL</t>
        </is>
      </c>
      <c r="C21" s="7" t="n">
        <v>6.239</v>
      </c>
      <c r="D21" s="7" t="n">
        <v>-2</v>
      </c>
      <c r="E21" s="7" t="n"/>
      <c r="F21" s="7" t="n">
        <v>2</v>
      </c>
      <c r="G21" s="7" t="inlineStr">
        <is>
          <t>LSB</t>
        </is>
      </c>
      <c r="H21" s="9">
        <f>HYPERLINK("#'DAC0_DNL'!A1","DAC0_DNL")</f>
        <v/>
      </c>
    </row>
    <row r="22" ht="34" customFormat="1" customHeight="1" s="3">
      <c r="A22" s="7" t="inlineStr">
        <is>
          <t>DAC1_DNL</t>
        </is>
      </c>
      <c r="B22" s="8" t="inlineStr">
        <is>
          <t>PASS</t>
        </is>
      </c>
      <c r="C22" s="7" t="n">
        <v>0.633</v>
      </c>
      <c r="D22" s="7" t="n">
        <v>-2</v>
      </c>
      <c r="E22" s="7" t="n"/>
      <c r="F22" s="7" t="n">
        <v>2</v>
      </c>
      <c r="G22" s="7" t="inlineStr">
        <is>
          <t>LSB</t>
        </is>
      </c>
      <c r="H22" s="9">
        <f>HYPERLINK("#'DAC1_DNL'!A1","DAC1_DNL")</f>
        <v/>
      </c>
    </row>
    <row r="23" ht="22.5" customHeight="1" s="16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 ht="22.5" customHeight="1" s="16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 ht="22.5" customFormat="1" customHeight="1" s="2">
      <c r="A25" s="6" t="inlineStr">
        <is>
          <t>5.9 ADC测试</t>
        </is>
      </c>
      <c r="B25" s="6" t="n"/>
      <c r="C25" s="6" t="n"/>
      <c r="D25" s="6" t="n"/>
      <c r="E25" s="6" t="n"/>
      <c r="F25" s="6" t="n"/>
      <c r="G25" s="6" t="n"/>
      <c r="H25" s="6" t="n"/>
    </row>
    <row r="26" ht="14.25" customHeight="1" s="16">
      <c r="A26" s="7" t="inlineStr">
        <is>
          <t>ADC_DNL</t>
        </is>
      </c>
      <c r="B26" s="8" t="inlineStr">
        <is>
          <t>FAIL</t>
        </is>
      </c>
      <c r="C26" s="7" t="n">
        <v>3479.75</v>
      </c>
      <c r="D26" s="7" t="n">
        <v>-2</v>
      </c>
      <c r="E26" s="7" t="n"/>
      <c r="F26" s="7" t="n">
        <v>2</v>
      </c>
      <c r="G26" s="7" t="inlineStr">
        <is>
          <t>LSB</t>
        </is>
      </c>
      <c r="H26" s="9">
        <f>HYPERLINK("#'ADC_DNL'!A1","ADC_DNL")</f>
        <v/>
      </c>
    </row>
    <row r="27" ht="14.25" customHeight="1" s="16"/>
    <row r="28" ht="22.5" customHeight="1" s="16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 ht="22.5" customHeight="1" s="16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 ht="22.5" customFormat="1" customHeight="1" s="2">
      <c r="A30" s="6" t="inlineStr">
        <is>
          <t>5.10 VCC_S测试</t>
        </is>
      </c>
      <c r="B30" s="6" t="n"/>
      <c r="C30" s="6" t="n"/>
      <c r="D30" s="6" t="n"/>
      <c r="E30" s="6" t="n"/>
      <c r="F30" s="6" t="n"/>
      <c r="G30" s="6" t="n"/>
      <c r="H30" s="6" t="n"/>
    </row>
    <row r="31" ht="35" customFormat="1" customHeight="1" s="3">
      <c r="A31" s="7" t="inlineStr">
        <is>
          <t>Voffset</t>
        </is>
      </c>
      <c r="B31" s="8" t="n"/>
      <c r="C31" s="7" t="n"/>
      <c r="D31" s="7" t="n">
        <v>-20</v>
      </c>
      <c r="E31" s="7" t="n"/>
      <c r="F31" s="7" t="n">
        <v>20</v>
      </c>
      <c r="G31" s="7" t="inlineStr">
        <is>
          <t>mV</t>
        </is>
      </c>
      <c r="H31" s="9">
        <f>HYPERLINK("#'Voffset'!A1","Voffset")</f>
        <v/>
      </c>
    </row>
    <row r="32" ht="35" customFormat="1" customHeight="1" s="3">
      <c r="A32" s="7" t="inlineStr">
        <is>
          <t>VS_ERROR</t>
        </is>
      </c>
      <c r="B32" s="8" t="n"/>
      <c r="C32" s="7" t="n"/>
      <c r="D32" s="7" t="n">
        <v>-4</v>
      </c>
      <c r="E32" s="7" t="n"/>
      <c r="F32" s="7" t="n">
        <v>4</v>
      </c>
      <c r="G32" s="7" t="inlineStr">
        <is>
          <t>CODE</t>
        </is>
      </c>
      <c r="H32" s="9">
        <f>HYPERLINK("#'VS_ERROR'!A1","VS_ERROR")</f>
        <v/>
      </c>
    </row>
    <row r="33" ht="22.5" customHeight="1" s="16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 ht="22.5" customHeight="1" s="16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 ht="22.5" customFormat="1" customHeight="1" s="2">
      <c r="A35" s="6" t="inlineStr">
        <is>
          <t>5.11  PGA+ADC&amp; SH+PGA测试</t>
        </is>
      </c>
      <c r="B35" s="6" t="n"/>
      <c r="C35" s="6" t="n"/>
      <c r="D35" s="6" t="n"/>
      <c r="E35" s="6" t="n"/>
      <c r="F35" s="6" t="n"/>
      <c r="G35" s="6" t="n"/>
      <c r="H35" s="6" t="n"/>
    </row>
    <row r="36" ht="22.5" customFormat="1" customHeight="1" s="3">
      <c r="A36" s="8" t="inlineStr">
        <is>
          <t>VAZ0</t>
        </is>
      </c>
      <c r="B36" s="8" t="n"/>
      <c r="C36" s="7" t="n"/>
      <c r="D36" s="7" t="n">
        <v>1</v>
      </c>
      <c r="E36" s="7" t="n"/>
      <c r="F36" s="7" t="n">
        <v>3</v>
      </c>
      <c r="G36" s="7" t="inlineStr">
        <is>
          <t>V</t>
        </is>
      </c>
      <c r="H36" s="9">
        <f>HYPERLINK("#'VAZ0'!A1","VAZ0")</f>
        <v/>
      </c>
    </row>
    <row r="37" ht="22.5" customFormat="1" customHeight="1" s="3">
      <c r="A37" s="8" t="inlineStr">
        <is>
          <t>VAZ1</t>
        </is>
      </c>
      <c r="B37" s="8" t="n"/>
      <c r="C37" s="7" t="n"/>
      <c r="D37" s="7" t="n">
        <v>1</v>
      </c>
      <c r="E37" s="7" t="n"/>
      <c r="F37" s="7" t="n">
        <v>3</v>
      </c>
      <c r="G37" s="7" t="inlineStr">
        <is>
          <t>V</t>
        </is>
      </c>
      <c r="H37" s="9">
        <f>HYPERLINK("#'VAZ1'!A1","VAZ1")</f>
        <v/>
      </c>
    </row>
    <row r="38" ht="22.5" customFormat="1" customHeight="1" s="3">
      <c r="A38" s="8" t="inlineStr">
        <is>
          <t>VAZ2</t>
        </is>
      </c>
      <c r="B38" s="8" t="n"/>
      <c r="C38" s="7" t="n"/>
      <c r="D38" s="7" t="n">
        <v>1</v>
      </c>
      <c r="E38" s="7" t="n"/>
      <c r="F38" s="7" t="n">
        <v>3</v>
      </c>
      <c r="G38" s="7" t="inlineStr">
        <is>
          <t>V</t>
        </is>
      </c>
      <c r="H38" s="9">
        <f>HYPERLINK("#'VAZ2'!A1","VAZ2")</f>
        <v/>
      </c>
    </row>
    <row r="39" ht="22.5" customFormat="1" customHeight="1" s="3">
      <c r="A39" s="8" t="inlineStr">
        <is>
          <t>IUerror</t>
        </is>
      </c>
      <c r="B39" s="12" t="n"/>
      <c r="C39" s="7" t="n"/>
      <c r="D39" s="7" t="n"/>
      <c r="E39" s="7" t="n"/>
      <c r="F39" s="7" t="n">
        <v>2</v>
      </c>
      <c r="G39" s="7" t="inlineStr">
        <is>
          <t>%</t>
        </is>
      </c>
      <c r="H39" s="9">
        <f>HYPERLINK("#'IUerror'!A1","IUerror")</f>
        <v/>
      </c>
    </row>
    <row r="40" ht="22.5" customHeight="1" s="16">
      <c r="A40" s="8" t="inlineStr">
        <is>
          <t>VUerror</t>
        </is>
      </c>
      <c r="B40" s="8" t="n"/>
      <c r="C40" s="7" t="n"/>
      <c r="D40" s="7" t="n"/>
      <c r="E40" s="7" t="n"/>
      <c r="F40" s="7" t="n">
        <v>2</v>
      </c>
      <c r="G40" s="7" t="inlineStr">
        <is>
          <t>%</t>
        </is>
      </c>
      <c r="H40" s="9">
        <f>HYPERLINK("#'VUerror'!A1","VUerror")</f>
        <v/>
      </c>
    </row>
    <row r="41" ht="22.5" customFormat="1" customHeight="1" s="3">
      <c r="A41" s="8" t="inlineStr">
        <is>
          <t>IVerror</t>
        </is>
      </c>
      <c r="B41" s="12" t="n"/>
      <c r="C41" s="7" t="n"/>
      <c r="D41" s="7" t="n"/>
      <c r="E41" s="7" t="n"/>
      <c r="F41" s="7" t="n">
        <v>2</v>
      </c>
      <c r="G41" s="7" t="inlineStr">
        <is>
          <t>%</t>
        </is>
      </c>
      <c r="H41" s="9">
        <f>HYPERLINK("#'IVerror'!A1","IVerror")</f>
        <v/>
      </c>
    </row>
    <row r="42" ht="22.5" customFormat="1" customHeight="1" s="3">
      <c r="A42" s="8" t="inlineStr">
        <is>
          <t>IWerror</t>
        </is>
      </c>
      <c r="B42" s="12" t="n"/>
      <c r="C42" s="7" t="n"/>
      <c r="D42" s="7" t="n"/>
      <c r="E42" s="7" t="n"/>
      <c r="F42" s="7" t="n">
        <v>2</v>
      </c>
      <c r="G42" s="7" t="inlineStr">
        <is>
          <t>%</t>
        </is>
      </c>
      <c r="H42" s="9">
        <f>HYPERLINK("#'IWerror'!A1","IWerror")</f>
        <v/>
      </c>
    </row>
    <row r="43" ht="22.5" customFormat="1" customHeight="1" s="3">
      <c r="A43" s="8" t="inlineStr">
        <is>
          <t>VWerror</t>
        </is>
      </c>
      <c r="B43" s="12" t="n"/>
      <c r="C43" s="7" t="n"/>
      <c r="D43" s="7" t="n"/>
      <c r="E43" s="7" t="n"/>
      <c r="F43" s="7" t="n">
        <v>2</v>
      </c>
      <c r="G43" s="7" t="inlineStr">
        <is>
          <t>%</t>
        </is>
      </c>
      <c r="H43" s="9">
        <f>HYPERLINK("#'VWerror'!A1","VWerror")</f>
        <v/>
      </c>
    </row>
    <row r="44" ht="22.5" customHeight="1" s="16">
      <c r="A44" s="13" t="n"/>
      <c r="B44" s="14" t="n"/>
      <c r="C44" s="14" t="n"/>
      <c r="D44" s="14" t="n"/>
      <c r="E44" s="14" t="n"/>
      <c r="F44" s="14" t="n"/>
      <c r="G44" s="10" t="n"/>
      <c r="H44" s="13" t="n"/>
    </row>
    <row r="45" ht="22.5" customHeight="1" s="16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 ht="22.5" customFormat="1" customHeight="1" s="2">
      <c r="A46" s="6" t="inlineStr">
        <is>
          <t>5.12 COMP测试</t>
        </is>
      </c>
      <c r="B46" s="6" t="n"/>
      <c r="C46" s="6" t="n"/>
      <c r="D46" s="6" t="n"/>
      <c r="E46" s="6" t="n"/>
      <c r="F46" s="6" t="n"/>
      <c r="G46" s="6" t="n"/>
      <c r="H46" s="6" t="n"/>
    </row>
    <row r="47" ht="22.5" customFormat="1" customHeight="1" s="3">
      <c r="A47" s="8" t="inlineStr">
        <is>
          <t>COMP0HYS</t>
        </is>
      </c>
      <c r="B47" s="8" t="inlineStr">
        <is>
          <t>PASS</t>
        </is>
      </c>
      <c r="C47" s="7" t="n">
        <v>2</v>
      </c>
      <c r="D47" s="7" t="n">
        <v>-2</v>
      </c>
      <c r="E47" s="7" t="n"/>
      <c r="F47" s="7" t="n">
        <v>10</v>
      </c>
      <c r="G47" s="7" t="inlineStr">
        <is>
          <t>mV</t>
        </is>
      </c>
      <c r="H47" s="9">
        <f>HYPERLINK("#'COMP0HYS'!A1","COMP0HYS")</f>
        <v/>
      </c>
    </row>
    <row r="48" ht="22.5" customHeight="1" s="16">
      <c r="A48" s="8" t="inlineStr">
        <is>
          <t>COMP1HYS</t>
        </is>
      </c>
      <c r="B48" s="8" t="n"/>
      <c r="C48" s="7" t="n"/>
      <c r="D48" s="7" t="n">
        <v>-2</v>
      </c>
      <c r="E48" s="7" t="n"/>
      <c r="F48" s="7" t="n">
        <v>10</v>
      </c>
      <c r="G48" s="7" t="inlineStr">
        <is>
          <t>mV</t>
        </is>
      </c>
      <c r="H48" s="15">
        <f>HYPERLINK("#'COMP1HYS'!A1","COMP1HYS")</f>
        <v/>
      </c>
    </row>
    <row r="49" ht="22.5" customHeight="1" s="16">
      <c r="A49" s="8" t="inlineStr">
        <is>
          <t>COMP2HYS</t>
        </is>
      </c>
      <c r="B49" s="8" t="inlineStr">
        <is>
          <t>PASS</t>
        </is>
      </c>
      <c r="C49" s="7" t="n">
        <v>3</v>
      </c>
      <c r="D49" s="7" t="n">
        <v>-2</v>
      </c>
      <c r="E49" s="7" t="n"/>
      <c r="F49" s="7" t="n">
        <v>10</v>
      </c>
      <c r="G49" s="7" t="inlineStr">
        <is>
          <t>mV</t>
        </is>
      </c>
      <c r="H49" s="9">
        <f>HYPERLINK("#'COMP2HYS'!A1","COMP2HYS")</f>
        <v/>
      </c>
    </row>
    <row r="50" ht="22.5" customHeight="1" s="16">
      <c r="A50" s="8" t="inlineStr">
        <is>
          <t>COMP4HYS</t>
        </is>
      </c>
      <c r="B50" s="8" t="inlineStr">
        <is>
          <t>FAIL</t>
        </is>
      </c>
      <c r="C50" s="7" t="n">
        <v>-45</v>
      </c>
      <c r="D50" s="7" t="n">
        <v>-20</v>
      </c>
      <c r="E50" s="7" t="n"/>
      <c r="F50" s="7" t="n">
        <v>20</v>
      </c>
      <c r="G50" s="7" t="inlineStr">
        <is>
          <t>mV</t>
        </is>
      </c>
      <c r="H50" s="9">
        <f>HYPERLINK("#'COMP4HYS'!A1","COMP4HYS")</f>
        <v/>
      </c>
    </row>
    <row r="51" ht="22.5" customHeight="1" s="16">
      <c r="A51" s="8" t="inlineStr">
        <is>
          <t>COMP5HYS</t>
        </is>
      </c>
      <c r="B51" s="8" t="inlineStr">
        <is>
          <t>FAIL</t>
        </is>
      </c>
      <c r="C51" s="7" t="n">
        <v>-71</v>
      </c>
      <c r="D51" s="7" t="n">
        <v>-20</v>
      </c>
      <c r="E51" s="7" t="n"/>
      <c r="F51" s="7" t="n">
        <v>20</v>
      </c>
      <c r="G51" s="7" t="inlineStr">
        <is>
          <t>mV</t>
        </is>
      </c>
      <c r="H51" s="9">
        <f>HYPERLINK("#'COMP5HYS'!A1","COMP5HYS")</f>
        <v/>
      </c>
    </row>
    <row r="52" ht="22.5" customFormat="1" customHeight="1" s="3">
      <c r="A52" s="8" t="inlineStr">
        <is>
          <t>COMP0HYS2</t>
        </is>
      </c>
      <c r="B52" s="8" t="n"/>
      <c r="C52" s="7" t="n"/>
      <c r="D52" s="7" t="n">
        <v>-10</v>
      </c>
      <c r="E52" s="7" t="n"/>
      <c r="F52" s="7" t="n">
        <v>10</v>
      </c>
      <c r="G52" s="7" t="inlineStr">
        <is>
          <t>mV</t>
        </is>
      </c>
      <c r="H52" s="9">
        <f>HYPERLINK("#'COMP0HYS2'!A1","COMP0HYS2")</f>
        <v/>
      </c>
    </row>
    <row r="53" ht="22.5" customHeight="1" s="16">
      <c r="A53" s="8" t="inlineStr">
        <is>
          <t>COMP1HYS2</t>
        </is>
      </c>
      <c r="B53" s="8" t="n"/>
      <c r="C53" s="7" t="n"/>
      <c r="D53" s="7" t="n">
        <v>-10</v>
      </c>
      <c r="E53" s="7" t="n"/>
      <c r="F53" s="7" t="n">
        <v>10</v>
      </c>
      <c r="G53" s="7" t="inlineStr">
        <is>
          <t>mV</t>
        </is>
      </c>
      <c r="H53" s="9">
        <f>HYPERLINK("#'COMP1HYS2'!A1","COMP1HYS2")</f>
        <v/>
      </c>
    </row>
    <row r="54" ht="22.5" customHeight="1" s="16">
      <c r="A54" s="8" t="inlineStr">
        <is>
          <t>COMP2HYS2</t>
        </is>
      </c>
      <c r="B54" s="8" t="n"/>
      <c r="C54" s="7" t="n"/>
      <c r="D54" s="7" t="n">
        <v>-10</v>
      </c>
      <c r="E54" s="7" t="n"/>
      <c r="F54" s="7" t="n">
        <v>10</v>
      </c>
      <c r="G54" s="7" t="inlineStr">
        <is>
          <t>mV</t>
        </is>
      </c>
      <c r="H54" s="9">
        <f>HYPERLINK("#'COMP2HYS2'!A1","COMP2HYS2")</f>
        <v/>
      </c>
    </row>
    <row r="55" ht="22.5" customHeight="1" s="16">
      <c r="A55" s="10" t="n"/>
      <c r="B55" s="10" t="n"/>
      <c r="C55" s="10" t="n"/>
      <c r="D55" s="10" t="n"/>
      <c r="E55" s="10" t="n"/>
      <c r="F55" s="10" t="n"/>
      <c r="G55" s="10" t="n"/>
      <c r="H55" s="10" t="n"/>
    </row>
  </sheetData>
  <mergeCells count="8">
    <mergeCell ref="H26:H27"/>
    <mergeCell ref="F26:F27"/>
    <mergeCell ref="D26:D27"/>
    <mergeCell ref="A26:A27"/>
    <mergeCell ref="B26:B27"/>
    <mergeCell ref="E26:E27"/>
    <mergeCell ref="C26:C27"/>
    <mergeCell ref="G26:G2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FD496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  <row r="2">
      <c r="A2" s="0" t="inlineStr">
        <is>
          <t>请将示波器的CH1探头接入P13引脚, 按下enter键继续...</t>
        </is>
      </c>
    </row>
    <row r="3">
      <c r="A3" s="0" t="inlineStr">
        <is>
          <t>测试目标频率为type_val=11787.5 Hz, 目标周期为84.836 us</t>
        </is>
      </c>
    </row>
    <row r="4">
      <c r="A4" s="0" t="inlineStr">
        <is>
          <t>📝 原始测量值(CH1): 频率=10433.300 Hz, 占空比=49.864 %, 周期=95.847 us</t>
        </is>
      </c>
    </row>
    <row r="5">
      <c r="A5" s="0" t="inlineStr">
        <is>
          <t>OSC24M频率A: 10433.300 Hz, 周期: 95.847 us</t>
        </is>
      </c>
    </row>
    <row r="6">
      <c r="A6" s="0" t="inlineStr">
        <is>
          <t>📝 原始测量值(CH1): 频率=10522.800 Hz, 占空比=49.856 %, 周期=95.031 us</t>
        </is>
      </c>
    </row>
    <row r="7">
      <c r="A7" s="0" t="inlineStr">
        <is>
          <t>OSC24M频率B: 10522.800 Hz, 周期: 95.031 us</t>
        </is>
      </c>
    </row>
    <row r="8">
      <c r="A8" s="0" t="inlineStr">
        <is>
          <t>OSC24M修调码计算结果: 45.51, 四舍五入取整: 46, 搜索范围: 42 ~ 51</t>
        </is>
      </c>
    </row>
    <row r="9">
      <c r="A9" s="0" t="inlineStr">
        <is>
          <t>📝 原始测量值(CH1): 频率=11305.700 Hz, 占空比=49.880 %, 周期=88.451 us</t>
        </is>
      </c>
    </row>
    <row r="10">
      <c r="A10" s="0" t="inlineStr">
        <is>
          <t>测试修调码 42: 频率=11305.700 Hz, 周期=88.451 us, 与目标周期误差=3.615 us</t>
        </is>
      </c>
    </row>
    <row r="11">
      <c r="A11" s="0" t="inlineStr">
        <is>
          <t>📝 原始测量值(CH1): 频率=11389.700 Hz, 占空比=49.850 %, 周期=87.799 us</t>
        </is>
      </c>
    </row>
    <row r="12">
      <c r="A12" s="0" t="inlineStr">
        <is>
          <t>测试修调码 43: 频率=11389.700 Hz, 周期=87.799 us, 与目标周期误差=2.963 us</t>
        </is>
      </c>
    </row>
    <row r="13">
      <c r="A13" s="0" t="inlineStr">
        <is>
          <t>📝 原始测量值(CH1): 频率=11480.300 Hz, 占空比=49.882 %, 周期=87.106 us</t>
        </is>
      </c>
    </row>
    <row r="14">
      <c r="A14" s="0" t="inlineStr">
        <is>
          <t>测试修调码 44: 频率=11480.300 Hz, 周期=87.106 us, 与目标周期误差=2.270 us</t>
        </is>
      </c>
    </row>
    <row r="15">
      <c r="A15" s="0" t="inlineStr">
        <is>
          <t>📝 原始测量值(CH1): 频率=11557.100 Hz, 占空比=49.891 %, 周期=86.527 us</t>
        </is>
      </c>
    </row>
    <row r="16">
      <c r="A16" s="0" t="inlineStr">
        <is>
          <t>测试修调码 45: 频率=11557.100 Hz, 周期=86.527 us, 与目标周期误差=1.691 us</t>
        </is>
      </c>
    </row>
    <row r="17">
      <c r="A17" s="0" t="inlineStr">
        <is>
          <t>📝 原始测量值(CH1): 频率=11641.700 Hz, 占空比=49.844 %, 周期=85.898 us</t>
        </is>
      </c>
    </row>
    <row r="18">
      <c r="A18" s="0" t="inlineStr">
        <is>
          <t>测试修调码 46: 频率=11641.700 Hz, 周期=85.898 us, 与目标周期误差=1.062 us</t>
        </is>
      </c>
    </row>
    <row r="19">
      <c r="A19" s="0" t="inlineStr">
        <is>
          <t>📝 原始测量值(CH1): 频率=11719.500 Hz, 占空比=49.868 %, 周期=85.328 us</t>
        </is>
      </c>
    </row>
    <row r="20">
      <c r="A20" s="0" t="inlineStr">
        <is>
          <t>测试修调码 47: 频率=11719.500 Hz, 周期=85.328 us, 与目标周期误差=0.492 us</t>
        </is>
      </c>
    </row>
    <row r="21">
      <c r="A21" s="0" t="inlineStr">
        <is>
          <t>📝 原始测量值(CH1): 频率=11792.200 Hz, 占空比=49.900 %, 周期=84.802 us</t>
        </is>
      </c>
    </row>
    <row r="22">
      <c r="A22" s="0" t="inlineStr">
        <is>
          <t>测试修调码 48: 频率=11792.200 Hz, 周期=84.802 us, 与目标周期误差=0.034 us</t>
        </is>
      </c>
    </row>
    <row r="23">
      <c r="A23" s="0" t="inlineStr">
        <is>
          <t>📝 原始测量值(CH1): 频率=11881.300 Hz, 占空比=49.834 %, 周期=84.166 us</t>
        </is>
      </c>
    </row>
    <row r="24">
      <c r="A24" s="0" t="inlineStr">
        <is>
          <t>测试修调码 49: 频率=11881.300 Hz, 周期=84.166 us, 与目标周期误差=0.670 us</t>
        </is>
      </c>
    </row>
    <row r="25">
      <c r="A25" s="0" t="inlineStr">
        <is>
          <t>📝 原始测量值(CH1): 频率=11948.400 Hz, 占空比=49.884 %, 周期=83.693 us</t>
        </is>
      </c>
    </row>
    <row r="26">
      <c r="A26" s="0" t="inlineStr">
        <is>
          <t>测试修调码 50: 频率=11948.400 Hz, 周期=83.693 us, 与目标周期误差=1.143 us</t>
        </is>
      </c>
    </row>
    <row r="27">
      <c r="A27" s="0" t="inlineStr">
        <is>
          <t>📝 原始测量值(CH1): 频率=12047.500 Hz, 占空比=49.856 %, 周期=83.005 us</t>
        </is>
      </c>
    </row>
    <row r="28">
      <c r="A28" s="0" t="inlineStr">
        <is>
          <t>测试修调码 51: 频率=12047.500 Hz, 周期=83.005 us, 与目标周期误差=1.831 us</t>
        </is>
      </c>
    </row>
    <row r="29">
      <c r="A29" s="0" t="inlineStr">
        <is>
          <t>📝 原始测量值(CH1): 频率=11801.800 Hz, 占空比=49.843 %, 周期=84.733 us</t>
        </is>
      </c>
    </row>
    <row r="30">
      <c r="A30" s="0" t="inlineStr">
        <is>
          <t>最终OSC24M频率: 11801.800 Hz, 周期: 84.733 us</t>
        </is>
      </c>
    </row>
    <row r="31">
      <c r="A31" s="0" t="inlineStr">
        <is>
          <t>测试目标频率为type_val=11787.5 Hz, 目标周期为84.836 us</t>
        </is>
      </c>
    </row>
    <row r="32">
      <c r="A32" s="0" t="inlineStr">
        <is>
          <t>📝 原始测量值(CH1): 频率=10212.400 Hz, 占空比=42.810 %, 周期=97.920 us</t>
        </is>
      </c>
    </row>
    <row r="33">
      <c r="A33" s="0" t="inlineStr">
        <is>
          <t>OSC24M频率A: 10212.400 Hz, 周期: 97.920 us</t>
        </is>
      </c>
    </row>
    <row r="34">
      <c r="A34" s="0" t="inlineStr">
        <is>
          <t>📝 原始测量值(CH1): 频率=10279.600 Hz, 占空比=43.640 %, 周期=97.280 us</t>
        </is>
      </c>
    </row>
    <row r="35">
      <c r="A35" s="0" t="inlineStr">
        <is>
          <t>OSC24M频率B: 10279.600 Hz, 周期: 97.280 us</t>
        </is>
      </c>
    </row>
    <row r="36">
      <c r="A36" s="0" t="inlineStr">
        <is>
          <t>OSC24M修调码计算结果: 52.44, 四舍五入取整: 52, 搜索范围: 48 ~ 57</t>
        </is>
      </c>
    </row>
    <row r="37">
      <c r="A37" s="0" t="inlineStr">
        <is>
          <t>📝 原始测量值(CH1): 频率=11506.600 Hz, 占空比=44.646 %, 周期=86.907 us</t>
        </is>
      </c>
    </row>
    <row r="38">
      <c r="A38" s="0" t="inlineStr">
        <is>
          <t>测试修调码 48: 频率=11506.600 Hz, 周期=86.907 us, 与目标周期误差=2.071 us</t>
        </is>
      </c>
    </row>
    <row r="39">
      <c r="A39" s="0" t="inlineStr">
        <is>
          <t>📝 原始测量值(CH1): 频率=11363.600 Hz, 占空比=44.000 %, 周期=88.000 us</t>
        </is>
      </c>
    </row>
    <row r="40">
      <c r="A40" s="0" t="inlineStr">
        <is>
          <t>测试修调码 49: 频率=11363.600 Hz, 周期=88.000 us, 与目标周期误差=3.164 us</t>
        </is>
      </c>
    </row>
    <row r="41">
      <c r="A41" s="0" t="inlineStr">
        <is>
          <t>📝 原始测量值(CH1): 频率=11563.400 Hz, 占空比=43.201 %, 周期=86.480 us</t>
        </is>
      </c>
    </row>
    <row r="42">
      <c r="A42" s="0" t="inlineStr">
        <is>
          <t>测试修调码 50: 频率=11563.400 Hz, 周期=86.480 us, 与目标周期误差=1.644 us</t>
        </is>
      </c>
    </row>
    <row r="43">
      <c r="A43" s="0" t="inlineStr">
        <is>
          <t>📝 原始测量值(CH1): 频率=11704.100 Hz, 占空比=42.509 %, 周期=85.440 us</t>
        </is>
      </c>
    </row>
    <row r="44">
      <c r="A44" s="0" t="inlineStr">
        <is>
          <t>测试修调码 51: 频率=11704.100 Hz, 周期=85.440 us, 与目标周期误差=0.604 us</t>
        </is>
      </c>
    </row>
    <row r="45">
      <c r="A45" s="0" t="inlineStr">
        <is>
          <t>📝 原始测量值(CH1): 频率=11799.900 Hz, 占空比=43.927 %, 周期=84.747 us</t>
        </is>
      </c>
    </row>
    <row r="46">
      <c r="A46" s="0" t="inlineStr">
        <is>
          <t>测试修调码 52: 频率=11799.900 Hz, 周期=84.747 us, 与目标周期误差=0.089 us</t>
        </is>
      </c>
    </row>
    <row r="47">
      <c r="A47" s="0" t="inlineStr">
        <is>
          <t>📝 原始测量值(CH1): 频率=11785.000 Hz, 占空比=43.180 %, 周期=84.853 us</t>
        </is>
      </c>
    </row>
    <row r="48">
      <c r="A48" s="0" t="inlineStr">
        <is>
          <t>测试修调码 53: 频率=11785.000 Hz, 周期=84.853 us, 与目标周期误差=0.018 us</t>
        </is>
      </c>
    </row>
    <row r="49">
      <c r="A49" s="0" t="inlineStr">
        <is>
          <t>📝 原始测量值(CH1): 频率=11904.800 Hz, 占空比=43.238 %, 周期=84.000 us</t>
        </is>
      </c>
    </row>
    <row r="50">
      <c r="A50" s="0" t="inlineStr">
        <is>
          <t>测试修调码 54: 频率=11904.800 Hz, 周期=84.000 us, 与目标周期误差=0.836 us</t>
        </is>
      </c>
    </row>
    <row r="51">
      <c r="A51" s="0" t="inlineStr">
        <is>
          <t>📝 原始测量值(CH1): 频率=11927.500 Hz, 占空比=44.466 %, 周期=83.840 us</t>
        </is>
      </c>
    </row>
    <row r="52">
      <c r="A52" s="0" t="inlineStr">
        <is>
          <t>测试修调码 55: 频率=11927.500 Hz, 周期=83.840 us, 与目标周期误差=0.996 us</t>
        </is>
      </c>
    </row>
    <row r="53">
      <c r="A53" s="0" t="inlineStr">
        <is>
          <t>📝 原始测量值(CH1): 频率=12207.000 Hz, 占空比=42.920 %, 周期=81.920 us</t>
        </is>
      </c>
    </row>
    <row r="54">
      <c r="A54" s="0" t="inlineStr">
        <is>
          <t>测试修调码 56: 频率=12207.000 Hz, 周期=81.920 us, 与目标周期误差=2.916 us</t>
        </is>
      </c>
    </row>
    <row r="55">
      <c r="A55" s="0" t="inlineStr">
        <is>
          <t>📝 原始测量值(CH1): 频率=12303.100 Hz, 占空比=42.520 %, 周期=81.280 us</t>
        </is>
      </c>
    </row>
    <row r="56">
      <c r="A56" s="0" t="inlineStr">
        <is>
          <t>测试修调码 57: 频率=12303.100 Hz, 周期=81.280 us, 与目标周期误差=3.556 us</t>
        </is>
      </c>
    </row>
    <row r="57">
      <c r="A57" s="0" t="inlineStr">
        <is>
          <t>📝 原始测量值(CH1): 频率=11897.200 Hz, 占空比=44.543 %, 周期=84.053 us</t>
        </is>
      </c>
    </row>
    <row r="58">
      <c r="A58" s="0" t="inlineStr">
        <is>
          <t>最终OSC24M频率: 11897.200 Hz, 周期: 84.053 us</t>
        </is>
      </c>
    </row>
    <row r="59">
      <c r="A59" s="0" t="inlineStr">
        <is>
          <t>测试目标频率为type_val=11787.5 Hz, 目标周期为84.836 us</t>
        </is>
      </c>
    </row>
    <row r="60">
      <c r="A60" s="0" t="inlineStr">
        <is>
          <t>📝 原始测量值(CH1): 频率=10080.600 Hz, 占空比=41.935 %, 周期=99.200 us</t>
        </is>
      </c>
    </row>
    <row r="61">
      <c r="A61" s="0" t="inlineStr">
        <is>
          <t>OSC24M频率A: 10080.600 Hz, 周期: 99.200 us</t>
        </is>
      </c>
    </row>
    <row r="62">
      <c r="A62" s="0" t="inlineStr">
        <is>
          <t>📝 原始测量值(CH1): 频率=10313.500 Hz, 占空比=42.409 %, 周期=96.960 us</t>
        </is>
      </c>
    </row>
    <row r="63">
      <c r="A63" s="0" t="inlineStr">
        <is>
          <t>OSC24M频率B: 10313.500 Hz, 周期: 96.960 us</t>
        </is>
      </c>
    </row>
    <row r="64">
      <c r="A64" s="0" t="inlineStr">
        <is>
          <t>OSC24M修调码计算结果: 38.41, 四舍五入取整: 38, 搜索范围: 34 ~ 43</t>
        </is>
      </c>
    </row>
    <row r="65">
      <c r="A65" s="0" t="inlineStr">
        <is>
          <t>📝 原始测量值(CH1): 频率=10347.700 Hz, 占空比=43.212 %, 周期=96.640 us</t>
        </is>
      </c>
    </row>
    <row r="66">
      <c r="A66" s="0" t="inlineStr">
        <is>
          <t>测试修调码 34: 频率=10347.700 Hz, 周期=96.640 us, 与目标周期误差=11.804 us</t>
        </is>
      </c>
    </row>
    <row r="67">
      <c r="A67" s="0" t="inlineStr">
        <is>
          <t>📝 原始测量值(CH1): 频率=10477.800 Hz, 占空比=42.330 %, 周期=95.440 us</t>
        </is>
      </c>
    </row>
    <row r="68">
      <c r="A68" s="0" t="inlineStr">
        <is>
          <t>测试修调码 35: 频率=10477.800 Hz, 周期=95.440 us, 与目标周期误差=10.604 us</t>
        </is>
      </c>
    </row>
    <row r="69">
      <c r="A69" s="0" t="inlineStr">
        <is>
          <t>📝 原始测量值(CH1): 频率=10611.200 Hz, 占空比=42.954 %, 周期=94.240 us</t>
        </is>
      </c>
    </row>
    <row r="70">
      <c r="A70" s="0" t="inlineStr">
        <is>
          <t>测试修调码 36: 频率=10611.200 Hz, 周期=94.240 us, 与目标周期误差=9.404 us</t>
        </is>
      </c>
    </row>
    <row r="71">
      <c r="A71" s="0" t="inlineStr">
        <is>
          <t>📝 原始测量值(CH1): 频率=10566.400 Hz, 占空比=42.181 %, 周期=94.640 us</t>
        </is>
      </c>
    </row>
    <row r="72">
      <c r="A72" s="0" t="inlineStr">
        <is>
          <t>测试修调码 37: 频率=10566.400 Hz, 周期=94.640 us, 与目标周期误差=9.804 us</t>
        </is>
      </c>
    </row>
    <row r="73">
      <c r="A73" s="0" t="inlineStr">
        <is>
          <t>📝 原始测量值(CH1): 频率=10677.700 Hz, 占空比=42.597 %, 周期=93.653 us</t>
        </is>
      </c>
    </row>
    <row r="74">
      <c r="A74" s="0" t="inlineStr">
        <is>
          <t>测试修调码 38: 频率=10677.700 Hz, 周期=93.653 us, 与目标周期误差=8.818 us</t>
        </is>
      </c>
    </row>
    <row r="75">
      <c r="A75" s="0" t="inlineStr">
        <is>
          <t>📝 原始测量值(CH1): 频率=10748.100 Hz, 占空比=42.218 %, 周期=93.040 us</t>
        </is>
      </c>
    </row>
    <row r="76">
      <c r="A76" s="0" t="inlineStr">
        <is>
          <t>测试修调码 39: 频率=10748.100 Hz, 周期=93.040 us, 与目标周期误差=8.204 us</t>
        </is>
      </c>
    </row>
    <row r="77">
      <c r="A77" s="0" t="inlineStr">
        <is>
          <t>📝 原始测量值(CH1): 频率=10869.600 Hz, 占空比=42.087 %, 周期=92.000 us</t>
        </is>
      </c>
    </row>
    <row r="78">
      <c r="A78" s="0" t="inlineStr">
        <is>
          <t>测试修调码 40: 频率=10869.600 Hz, 周期=92.000 us, 与目标周期误差=7.164 us</t>
        </is>
      </c>
    </row>
    <row r="79">
      <c r="A79" s="0" t="inlineStr">
        <is>
          <t>📝 原始测量值(CH1): 频率=11003.500 Hz, 占空比=42.958 %, 周期=90.880 us</t>
        </is>
      </c>
    </row>
    <row r="80">
      <c r="A80" s="0" t="inlineStr">
        <is>
          <t>测试修调码 41: 频率=11003.500 Hz, 周期=90.880 us, 与目标周期误差=6.044 us</t>
        </is>
      </c>
    </row>
    <row r="81">
      <c r="A81" s="0" t="inlineStr">
        <is>
          <t>📝 原始测量值(CH1): 频率=11003.500 Hz, 占空比=42.254 %, 周期=90.880 us</t>
        </is>
      </c>
    </row>
    <row r="82">
      <c r="A82" s="0" t="inlineStr">
        <is>
          <t>测试修调码 42: 频率=11003.500 Hz, 周期=90.880 us, 与目标周期误差=6.044 us</t>
        </is>
      </c>
    </row>
    <row r="83">
      <c r="A83" s="0" t="inlineStr">
        <is>
          <t>📝 原始测量值(CH1): 频率=11150.800 Hz, 占空比=42.730 %, 周期=89.680 us</t>
        </is>
      </c>
    </row>
    <row r="84">
      <c r="A84" s="0" t="inlineStr">
        <is>
          <t>测试修调码 43: 频率=11150.800 Hz, 周期=89.680 us, 与目标周期误差=4.844 us</t>
        </is>
      </c>
    </row>
    <row r="85">
      <c r="A85" s="0" t="inlineStr">
        <is>
          <t>📝 原始测量值(CH1): 频率=11091.400 Hz, 占空比=42.502 %, 周期=90.160 us</t>
        </is>
      </c>
    </row>
    <row r="86">
      <c r="A86" s="0" t="inlineStr">
        <is>
          <t>最终OSC24M频率: 11091.400 Hz, 周期: 90.160 us</t>
        </is>
      </c>
    </row>
    <row r="87">
      <c r="A87" s="0" t="inlineStr">
        <is>
          <t>测试目标频率为type_val=11787.5 Hz, 目标周期为84.836 us</t>
        </is>
      </c>
    </row>
    <row r="88">
      <c r="A88" s="0" t="inlineStr">
        <is>
          <t>📝 原始测量值(CH1): 频率=10080.600 Hz, 占空比=42.581 %, 周期=99.200 us</t>
        </is>
      </c>
    </row>
    <row r="89">
      <c r="A89" s="0" t="inlineStr">
        <is>
          <t>OSC24M频率A: 10080.600 Hz, 周期: 99.200 us</t>
        </is>
      </c>
    </row>
    <row r="90">
      <c r="A90" s="0" t="inlineStr">
        <is>
          <t>📝 原始测量值(CH1): 频率=10212.400 Hz, 占空比=44.526 %, 周期=97.920 us</t>
        </is>
      </c>
    </row>
    <row r="91">
      <c r="A91" s="0" t="inlineStr">
        <is>
          <t>OSC24M频率B: 10212.400 Hz, 周期: 97.920 us</t>
        </is>
      </c>
    </row>
    <row r="92">
      <c r="A92" s="0" t="inlineStr">
        <is>
          <t>OSC24M修调码计算结果: 43.22, 四舍五入取整: 43, 搜索范围: 39 ~ 48</t>
        </is>
      </c>
    </row>
    <row r="93">
      <c r="A93" s="0" t="inlineStr">
        <is>
          <t>📝 原始测量值(CH1): 频率=10665.500 Hz, 占空比=42.321 %, 周期=93.760 us</t>
        </is>
      </c>
    </row>
    <row r="94">
      <c r="A94" s="0" t="inlineStr">
        <is>
          <t>测试修调码 39: 频率=10665.500 Hz, 周期=93.760 us, 与目标周期误差=8.924 us</t>
        </is>
      </c>
    </row>
    <row r="95">
      <c r="A95" s="0" t="inlineStr">
        <is>
          <t>📝 原始测量值(CH1): 频率=10898.000 Hz, 占空比=42.807 %, 周期=91.760 us</t>
        </is>
      </c>
    </row>
    <row r="96">
      <c r="A96" s="0" t="inlineStr">
        <is>
          <t>测试修调码 40: 频率=10898.000 Hz, 周期=91.760 us, 与目标周期误差=6.924 us</t>
        </is>
      </c>
    </row>
    <row r="97">
      <c r="A97" s="0" t="inlineStr">
        <is>
          <t>📝 原始测量值(CH1): 频率=11111.100 Hz, 占空比=43.378 %, 周期=90.000 us</t>
        </is>
      </c>
    </row>
    <row r="98">
      <c r="A98" s="0" t="inlineStr">
        <is>
          <t>测试修调码 41: 频率=11111.100 Hz, 周期=90.000 us, 与目标周期误差=5.164 us</t>
        </is>
      </c>
    </row>
    <row r="99">
      <c r="A99" s="0" t="inlineStr">
        <is>
          <t>📝 原始测量值(CH1): 频率=11003.500 Hz, 占空比=43.310 %, 周期=90.880 us</t>
        </is>
      </c>
    </row>
    <row r="100">
      <c r="A100" s="0" t="inlineStr">
        <is>
          <t>测试修调码 42: 频率=11003.500 Hz, 周期=90.880 us, 与目标周期误差=6.044 us</t>
        </is>
      </c>
    </row>
    <row r="101">
      <c r="A101" s="0" t="inlineStr">
        <is>
          <t>📝 原始测量值(CH1): 频率=11251.100 Hz, 占空比=43.474 %, 周期=88.880 us</t>
        </is>
      </c>
    </row>
    <row r="102">
      <c r="A102" s="0" t="inlineStr">
        <is>
          <t>测试修调码 43: 频率=11251.100 Hz, 周期=88.880 us, 与目标周期误差=4.044 us</t>
        </is>
      </c>
    </row>
    <row r="103">
      <c r="A103" s="0" t="inlineStr">
        <is>
          <t>📝 原始测量值(CH1): 频率=11291.800 Hz, 占空比=44.354 %, 周期=88.560 us</t>
        </is>
      </c>
    </row>
    <row r="104">
      <c r="A104" s="0" t="inlineStr">
        <is>
          <t>测试修调码 44: 频率=11291.800 Hz, 周期=88.560 us, 与目标周期误差=3.724 us</t>
        </is>
      </c>
    </row>
    <row r="105">
      <c r="A105" s="0" t="inlineStr">
        <is>
          <t>📝 原始测量值(CH1): 频率=11322.500 Hz, 占空比=44.565 %, 周期=88.320 us</t>
        </is>
      </c>
    </row>
    <row r="106">
      <c r="A106" s="0" t="inlineStr">
        <is>
          <t>测试修调码 45: 频率=11322.500 Hz, 周期=88.320 us, 与目标周期误差=3.484 us</t>
        </is>
      </c>
    </row>
    <row r="107">
      <c r="A107" s="0" t="inlineStr">
        <is>
          <t>📝 原始测量值(CH1): 频率=11363.600 Hz, 占空比=43.636 %, 周期=88.000 us</t>
        </is>
      </c>
    </row>
    <row r="108">
      <c r="A108" s="0" t="inlineStr">
        <is>
          <t>测试修调码 46: 频率=11363.600 Hz, 周期=88.000 us, 与目标周期误差=3.164 us</t>
        </is>
      </c>
    </row>
    <row r="109">
      <c r="A109" s="0" t="inlineStr">
        <is>
          <t>📝 原始测量值(CH1): 频率=11689.500 Hz, 占空比=41.646 %, 周期=85.547 us</t>
        </is>
      </c>
    </row>
    <row r="110">
      <c r="A110" s="0" t="inlineStr">
        <is>
          <t>测试修调码 47: 频率=11689.500 Hz, 周期=85.547 us, 与目标周期误差=0.711 us</t>
        </is>
      </c>
    </row>
    <row r="111">
      <c r="A111" s="0" t="inlineStr">
        <is>
          <t>📝 原始测量值(CH1): 频率=11374.000 Hz, 占空比=41.856 %, 周期=87.920 us</t>
        </is>
      </c>
    </row>
    <row r="112">
      <c r="A112" s="0" t="inlineStr">
        <is>
          <t>测试修调码 48: 频率=11374.000 Hz, 周期=87.920 us, 与目标周期误差=3.084 us</t>
        </is>
      </c>
    </row>
    <row r="113">
      <c r="A113" s="0" t="inlineStr">
        <is>
          <t>📝 原始测量值(CH1): 频率=11489.000 Hz, 占空比=43.750 %, 周期=87.040 us</t>
        </is>
      </c>
    </row>
    <row r="114">
      <c r="A114" s="0" t="inlineStr">
        <is>
          <t>最终OSC24M频率: 11489.000 Hz, 周期: 87.040 us</t>
        </is>
      </c>
    </row>
    <row r="115">
      <c r="A115" s="0" t="inlineStr">
        <is>
          <t>测试目标频率为type_val=11787.5 Hz, 目标周期为84.836 us</t>
        </is>
      </c>
    </row>
    <row r="116">
      <c r="A116" s="0" t="inlineStr">
        <is>
          <t>📝 原始测量值(CH1): 频率=10160.600 Hz, 占空比=49.708 %, 周期=98.419 us</t>
        </is>
      </c>
    </row>
    <row r="117">
      <c r="A117" s="0" t="inlineStr">
        <is>
          <t>OSC24M频率A: 10160.600 Hz, 周期: 98.419 us</t>
        </is>
      </c>
    </row>
    <row r="118">
      <c r="A118" s="0" t="inlineStr">
        <is>
          <t>📝 原始测量值(CH1): 频率=10246.900 Hz, 占空比=49.742 %, 周期=97.591 us</t>
        </is>
      </c>
    </row>
    <row r="119">
      <c r="A119" s="0" t="inlineStr">
        <is>
          <t>OSC24M频率B: 10246.900 Hz, 周期: 97.591 us</t>
        </is>
      </c>
    </row>
    <row r="120">
      <c r="A120" s="0" t="inlineStr">
        <is>
          <t>OSC24M修调码计算结果: 48.40, 四舍五入取整: 48, 搜索范围: 44 ~ 53</t>
        </is>
      </c>
    </row>
    <row r="121">
      <c r="A121" s="0" t="inlineStr">
        <is>
          <t>📝 原始测量值(CH1): 频率=11190.200 Hz, 占空比=49.711 %, 周期=89.364 us</t>
        </is>
      </c>
    </row>
    <row r="122">
      <c r="A122" s="0" t="inlineStr">
        <is>
          <t>测试修调码 44: 频率=11190.200 Hz, 周期=89.364 us, 与目标周期误差=4.528 us</t>
        </is>
      </c>
    </row>
    <row r="123">
      <c r="A123" s="0" t="inlineStr">
        <is>
          <t>📝 原始测量值(CH1): 频率=11273.500 Hz, 占空比=49.676 %, 周期=88.703 us</t>
        </is>
      </c>
    </row>
    <row r="124">
      <c r="A124" s="0" t="inlineStr">
        <is>
          <t>测试修调码 45: 频率=11273.500 Hz, 周期=88.703 us, 与目标周期误差=3.868 us</t>
        </is>
      </c>
    </row>
    <row r="125">
      <c r="A125" s="0" t="inlineStr">
        <is>
          <t>📝 原始测量值(CH1): 频率=11354.900 Hz, 占空比=49.689 %, 周期=88.068 us</t>
        </is>
      </c>
    </row>
    <row r="126">
      <c r="A126" s="0" t="inlineStr">
        <is>
          <t>测试修调码 46: 频率=11354.900 Hz, 周期=88.068 us, 与目标周期误差=3.232 us</t>
        </is>
      </c>
    </row>
    <row r="127">
      <c r="A127" s="0" t="inlineStr">
        <is>
          <t>📝 原始测量值(CH1): 频率=11423.500 Hz, 占空比=49.697 %, 周期=87.539 us</t>
        </is>
      </c>
    </row>
    <row r="128">
      <c r="A128" s="0" t="inlineStr">
        <is>
          <t>测试修调码 47: 频率=11423.500 Hz, 周期=87.539 us, 与目标周期误差=2.703 us</t>
        </is>
      </c>
    </row>
    <row r="129">
      <c r="A129" s="0" t="inlineStr">
        <is>
          <t>📝 原始测量值(CH1): 频率=11509.700 Hz, 占空比=49.700 %, 周期=86.883 us</t>
        </is>
      </c>
    </row>
    <row r="130">
      <c r="A130" s="0" t="inlineStr">
        <is>
          <t>测试修调码 48: 频率=11509.700 Hz, 周期=86.883 us, 与目标周期误差=2.048 us</t>
        </is>
      </c>
    </row>
    <row r="131">
      <c r="A131" s="0" t="inlineStr">
        <is>
          <t>📝 原始测量值(CH1): 频率=11578.200 Hz, 占空比=49.707 %, 周期=86.369 us</t>
        </is>
      </c>
    </row>
    <row r="132">
      <c r="A132" s="0" t="inlineStr">
        <is>
          <t>测试修调码 49: 频率=11578.200 Hz, 周期=86.369 us, 与目标周期误差=1.534 us</t>
        </is>
      </c>
    </row>
    <row r="133">
      <c r="A133" s="0" t="inlineStr">
        <is>
          <t>📝 原始测量值(CH1): 频率=11666.400 Hz, 占空比=49.666 %, 周期=85.716 us</t>
        </is>
      </c>
    </row>
    <row r="134">
      <c r="A134" s="0" t="inlineStr">
        <is>
          <t>测试修调码 50: 频率=11666.400 Hz, 周期=85.716 us, 与目标周期误差=0.881 us</t>
        </is>
      </c>
    </row>
    <row r="135">
      <c r="A135" s="0" t="inlineStr">
        <is>
          <t>📝 原始测量值(CH1): 频率=11748.100 Hz, 占空比=49.681 %, 周期=85.120 us</t>
        </is>
      </c>
    </row>
    <row r="136">
      <c r="A136" s="0" t="inlineStr">
        <is>
          <t>测试修调码 51: 频率=11748.100 Hz, 周期=85.120 us, 与目标周期误差=0.284 us</t>
        </is>
      </c>
    </row>
    <row r="137">
      <c r="A137" s="0" t="inlineStr">
        <is>
          <t>📝 原始测量值(CH1): 频率=11825.900 Hz, 占空比=49.692 %, 周期=84.560 us</t>
        </is>
      </c>
    </row>
    <row r="138">
      <c r="A138" s="0" t="inlineStr">
        <is>
          <t>测试修调码 52: 频率=11825.900 Hz, 周期=84.560 us, 与目标周期误差=0.276 us</t>
        </is>
      </c>
    </row>
    <row r="139">
      <c r="A139" s="0" t="inlineStr">
        <is>
          <t>📝 原始测量值(CH1): 频率=11904.200 Hz, 占空比=49.678 %, 周期=84.004 us</t>
        </is>
      </c>
    </row>
    <row r="140">
      <c r="A140" s="0" t="inlineStr">
        <is>
          <t>测试修调码 53: 频率=11904.200 Hz, 周期=84.004 us, 与目标周期误差=0.832 us</t>
        </is>
      </c>
    </row>
    <row r="141">
      <c r="A141" s="0" t="inlineStr">
        <is>
          <t>📝 原始测量值(CH1): 频率=11822.400 Hz, 占空比=49.678 %, 周期=84.585 us</t>
        </is>
      </c>
    </row>
    <row r="142">
      <c r="A142" s="0" t="inlineStr">
        <is>
          <t>最终OSC24M频率: 11822.400 Hz, 周期: 84.585 us</t>
        </is>
      </c>
    </row>
    <row r="143">
      <c r="A143" s="0" t="inlineStr">
        <is>
          <t>测试目标频率为type_val=11787.5 Hz, 目标周期为84.836 us</t>
        </is>
      </c>
    </row>
    <row r="144">
      <c r="A144" s="0" t="inlineStr">
        <is>
          <t>📝 原始测量值(CH1): 频率=9976.100 Hz, 占空比=40.942 %, 周期=100.240 us</t>
        </is>
      </c>
    </row>
    <row r="145">
      <c r="A145" s="0" t="inlineStr">
        <is>
          <t>OSC24M频率A: 9976.100 Hz, 周期: 100.240 us</t>
        </is>
      </c>
    </row>
    <row r="146">
      <c r="A146" s="0" t="inlineStr">
        <is>
          <t>📝 原始测量值(CH1): 频率=10146.100 Hz, 占空比=41.964 %, 周期=98.560 us</t>
        </is>
      </c>
    </row>
    <row r="147">
      <c r="A147" s="0" t="inlineStr">
        <is>
          <t>OSC24M频率B: 10146.100 Hz, 周期: 98.560 us</t>
        </is>
      </c>
    </row>
    <row r="148">
      <c r="A148" s="0" t="inlineStr">
        <is>
          <t>OSC24M修调码计算结果: 41.17, 四舍五入取整: 41, 搜索范围: 37 ~ 46</t>
        </is>
      </c>
    </row>
    <row r="149">
      <c r="A149" s="0" t="inlineStr">
        <is>
          <t>📝 原始测量值(CH1): 频率=10347.700 Hz, 占空比=41.474 %, 周期=96.640 us</t>
        </is>
      </c>
    </row>
    <row r="150">
      <c r="A150" s="0" t="inlineStr">
        <is>
          <t>测试修调码 37: 频率=10347.700 Hz, 周期=96.640 us, 与目标周期误差=11.804 us</t>
        </is>
      </c>
    </row>
    <row r="151">
      <c r="A151" s="0" t="inlineStr">
        <is>
          <t>📝 原始测量值(CH1): 频率=10486.600 Hz, 占空比=44.044 %, 周期=95.360 us</t>
        </is>
      </c>
    </row>
    <row r="152">
      <c r="A152" s="0" t="inlineStr">
        <is>
          <t>测试修调码 38: 频率=10486.600 Hz, 周期=95.360 us, 与目标周期误差=10.524 us</t>
        </is>
      </c>
    </row>
    <row r="153">
      <c r="A153" s="0" t="inlineStr">
        <is>
          <t>📝 原始测量值(CH1): 频率=10593.200 Hz, 占空比=43.051 %, 周期=94.400 us</t>
        </is>
      </c>
    </row>
    <row r="154">
      <c r="A154" s="0" t="inlineStr">
        <is>
          <t>测试修调码 39: 频率=10593.200 Hz, 周期=94.400 us, 与目标周期误差=9.564 us</t>
        </is>
      </c>
    </row>
    <row r="155">
      <c r="A155" s="0" t="inlineStr">
        <is>
          <t>📝 原始测量值(CH1): 频率=10665.500 Hz, 占空比=42.662 %, 周期=93.760 us</t>
        </is>
      </c>
    </row>
    <row r="156">
      <c r="A156" s="0" t="inlineStr">
        <is>
          <t>测试修调码 40: 频率=10665.500 Hz, 周期=93.760 us, 与目标周期误差=8.924 us</t>
        </is>
      </c>
    </row>
    <row r="157">
      <c r="A157" s="0" t="inlineStr">
        <is>
          <t>📝 原始测量值(CH1): 频率=10665.500 Hz, 占空比=42.662 %, 周期=93.760 us</t>
        </is>
      </c>
    </row>
    <row r="158">
      <c r="A158" s="0" t="inlineStr">
        <is>
          <t>测试修调码 41: 频率=10665.500 Hz, 周期=93.760 us, 与目标周期误差=8.924 us</t>
        </is>
      </c>
    </row>
    <row r="159">
      <c r="A159" s="0" t="inlineStr">
        <is>
          <t>📝 原始测量值(CH1): 频率=10775.900 Hz, 占空比=41.379 %, 周期=92.800 us</t>
        </is>
      </c>
    </row>
    <row r="160">
      <c r="A160" s="0" t="inlineStr">
        <is>
          <t>测试修调码 42: 频率=10775.900 Hz, 周期=92.800 us, 与目标周期误差=7.964 us</t>
        </is>
      </c>
    </row>
    <row r="161">
      <c r="A161" s="0" t="inlineStr">
        <is>
          <t>📝 原始测量值(CH1): 频率=10702.100 Hz, 占空比=42.466 %, 周期=93.440 us</t>
        </is>
      </c>
    </row>
    <row r="162">
      <c r="A162" s="0" t="inlineStr">
        <is>
          <t>测试修调码 43: 频率=10702.100 Hz, 周期=93.440 us, 与目标周期误差=8.604 us</t>
        </is>
      </c>
    </row>
    <row r="163">
      <c r="A163" s="0" t="inlineStr">
        <is>
          <t>📝 原始测量值(CH1): 频率=10794.500 Hz, 占空比=41.969 %, 周期=92.640 us</t>
        </is>
      </c>
    </row>
    <row r="164">
      <c r="A164" s="0" t="inlineStr">
        <is>
          <t>测试修调码 44: 频率=10794.500 Hz, 周期=92.640 us, 与目标周期误差=7.804 us</t>
        </is>
      </c>
    </row>
    <row r="165">
      <c r="A165" s="0" t="inlineStr">
        <is>
          <t>📝 原始测量值(CH1): 频率=10860.100 Hz, 占空比=43.441 %, 周期=92.080 us</t>
        </is>
      </c>
    </row>
    <row r="166">
      <c r="A166" s="0" t="inlineStr">
        <is>
          <t>测试修调码 45: 频率=10860.100 Hz, 周期=92.080 us, 与目标周期误差=7.244 us</t>
        </is>
      </c>
    </row>
    <row r="167">
      <c r="A167" s="0" t="inlineStr">
        <is>
          <t>📝 原始测量值(CH1): 频率=11042.400 Hz, 占空比=42.050 %, 周期=90.560 us</t>
        </is>
      </c>
    </row>
    <row r="168">
      <c r="A168" s="0" t="inlineStr">
        <is>
          <t>测试修调码 46: 频率=11042.400 Hz, 周期=90.560 us, 与目标周期误差=5.724 us</t>
        </is>
      </c>
    </row>
    <row r="169">
      <c r="A169" s="0" t="inlineStr">
        <is>
          <t>📝 原始测量值(CH1): 频率=11078.300 Hz, 占空比=43.368 %, 周期=90.267 us</t>
        </is>
      </c>
    </row>
    <row r="170">
      <c r="A170" s="0" t="inlineStr">
        <is>
          <t>最终OSC24M频率: 11078.300 Hz, 周期: 90.267 us</t>
        </is>
      </c>
    </row>
    <row r="171">
      <c r="A171" s="0" t="inlineStr">
        <is>
          <t>测试目标频率为type_val=11787.5 Hz, 目标周期为84.836 us</t>
        </is>
      </c>
    </row>
    <row r="172">
      <c r="A172" s="0" t="inlineStr">
        <is>
          <t>📝 原始测量值(CH1): 频率=9920.600 Hz, 占空比=41.825 %, 周期=100.800 us</t>
        </is>
      </c>
    </row>
    <row r="173">
      <c r="A173" s="0" t="inlineStr">
        <is>
          <t>OSC24M频率A: 9920.600 Hz, 周期: 100.800 us</t>
        </is>
      </c>
    </row>
    <row r="174">
      <c r="A174" s="0" t="inlineStr">
        <is>
          <t>📝 原始测量值(CH1): 频率=10048.200 Hz, 占空比=42.042 %, 周期=99.520 us</t>
        </is>
      </c>
    </row>
    <row r="175">
      <c r="A175" s="0" t="inlineStr">
        <is>
          <t>OSC24M频率B: 10048.200 Hz, 周期: 99.520 us</t>
        </is>
      </c>
    </row>
    <row r="176">
      <c r="A176" s="0" t="inlineStr">
        <is>
          <t>OSC24M修调码计算结果: 44.47, 四舍五入取整: 44, 搜索范围: 40 ~ 49</t>
        </is>
      </c>
    </row>
    <row r="177">
      <c r="A177" s="0" t="inlineStr">
        <is>
          <t>📝 原始测量值(CH1): 频率=10539.600 Hz, 占空比=41.821 %, 周期=94.880 us</t>
        </is>
      </c>
    </row>
    <row r="178">
      <c r="A178" s="0" t="inlineStr">
        <is>
          <t>测试修调码 40: 频率=10539.600 Hz, 周期=94.880 us, 与目标周期误差=10.044 us</t>
        </is>
      </c>
    </row>
    <row r="179">
      <c r="A179" s="0" t="inlineStr">
        <is>
          <t>📝 原始测量值(CH1): 频率=10775.900 Hz, 占空比=42.069 %, 周期=92.800 us</t>
        </is>
      </c>
    </row>
    <row r="180">
      <c r="A180" s="0" t="inlineStr">
        <is>
          <t>测试修调码 41: 频率=10775.900 Hz, 周期=92.800 us, 与目标周期误差=7.964 us</t>
        </is>
      </c>
    </row>
    <row r="181">
      <c r="A181" s="0" t="inlineStr">
        <is>
          <t>📝 原始测量值(CH1): 频率=10738.800 Hz, 占空比=42.612 %, 周期=93.120 us</t>
        </is>
      </c>
    </row>
    <row r="182">
      <c r="A182" s="0" t="inlineStr">
        <is>
          <t>测试修调码 42: 频率=10738.800 Hz, 周期=93.120 us, 与目标周期误差=8.284 us</t>
        </is>
      </c>
    </row>
    <row r="183">
      <c r="A183" s="0" t="inlineStr">
        <is>
          <t>📝 原始测量值(CH1): 频率=10850.700 Hz, 占空比=43.403 %, 周期=92.160 us</t>
        </is>
      </c>
    </row>
    <row r="184">
      <c r="A184" s="0" t="inlineStr">
        <is>
          <t>测试修调码 43: 频率=10850.700 Hz, 周期=92.160 us, 与目标周期误差=7.324 us</t>
        </is>
      </c>
    </row>
    <row r="185">
      <c r="A185" s="0" t="inlineStr">
        <is>
          <t>📝 原始测量值(CH1): 频率=10926.600 Hz, 占空比=43.357 %, 周期=91.520 us</t>
        </is>
      </c>
    </row>
    <row r="186">
      <c r="A186" s="0" t="inlineStr">
        <is>
          <t>测试修调码 44: 频率=10926.600 Hz, 周期=91.520 us, 与目标周期误差=6.684 us</t>
        </is>
      </c>
    </row>
    <row r="187">
      <c r="A187" s="0" t="inlineStr">
        <is>
          <t>📝 原始测量值(CH1): 频率=11071.700 Hz, 占空比=43.224 %, 周期=90.320 us</t>
        </is>
      </c>
    </row>
    <row r="188">
      <c r="A188" s="0" t="inlineStr">
        <is>
          <t>测试修调码 45: 频率=11071.700 Hz, 周期=90.320 us, 与目标周期误差=5.484 us</t>
        </is>
      </c>
    </row>
    <row r="189">
      <c r="A189" s="0" t="inlineStr">
        <is>
          <t>📝 原始测量值(CH1): 频率=11042.400 Hz, 占空比=43.375 %, 周期=90.560 us</t>
        </is>
      </c>
    </row>
    <row r="190">
      <c r="A190" s="0" t="inlineStr">
        <is>
          <t>测试修调码 46: 频率=11042.400 Hz, 周期=90.560 us, 与目标周期误差=5.724 us</t>
        </is>
      </c>
    </row>
    <row r="191">
      <c r="A191" s="0" t="inlineStr">
        <is>
          <t>📝 原始测量值(CH1): 频率=11237.600 Hz, 占空比=40.396 %, 周期=88.987 us</t>
        </is>
      </c>
    </row>
    <row r="192">
      <c r="A192" s="0" t="inlineStr">
        <is>
          <t>测试修调码 47: 频率=11237.600 Hz, 周期=88.987 us, 与目标周期误差=4.151 us</t>
        </is>
      </c>
    </row>
    <row r="193">
      <c r="A193" s="0" t="inlineStr">
        <is>
          <t>📝 原始测量值(CH1): 频率=11322.500 Hz, 占空比=43.116 %, 周期=88.320 us</t>
        </is>
      </c>
    </row>
    <row r="194">
      <c r="A194" s="0" t="inlineStr">
        <is>
          <t>测试修调码 48: 频率=11322.500 Hz, 周期=88.320 us, 与目标周期误差=3.484 us</t>
        </is>
      </c>
    </row>
    <row r="195">
      <c r="A195" s="0" t="inlineStr">
        <is>
          <t>📝 原始测量值(CH1): 频率=11322.500 Hz, 占空比=41.304 %, 周期=88.320 us</t>
        </is>
      </c>
    </row>
    <row r="196">
      <c r="A196" s="0" t="inlineStr">
        <is>
          <t>测试修调码 49: 频率=11322.500 Hz, 周期=88.320 us, 与目标周期误差=3.484 us</t>
        </is>
      </c>
    </row>
    <row r="197">
      <c r="A197" s="0" t="inlineStr">
        <is>
          <t>📝 原始测量值(CH1): 频率=11200.700 Hz, 占空比=42.294 %, 周期=89.280 us</t>
        </is>
      </c>
    </row>
    <row r="198">
      <c r="A198" s="0" t="inlineStr">
        <is>
          <t>最终OSC24M频率: 11200.700 Hz, 周期: 89.280 us</t>
        </is>
      </c>
    </row>
    <row r="199">
      <c r="A199" s="0" t="inlineStr">
        <is>
          <t>测试目标频率为type_val=11787.5 Hz, 目标周期为84.836 us</t>
        </is>
      </c>
    </row>
    <row r="200">
      <c r="A200" s="0" t="inlineStr">
        <is>
          <t>📝 原始测量值(CH1): 频率=10229.100 Hz, 占空比=42.758 %, 周期=97.760 us</t>
        </is>
      </c>
    </row>
    <row r="201">
      <c r="A201" s="0" t="inlineStr">
        <is>
          <t>OSC24M频率A: 10229.100 Hz, 周期: 97.760 us</t>
        </is>
      </c>
    </row>
    <row r="202">
      <c r="A202" s="0" t="inlineStr">
        <is>
          <t>📝 原始测量值(CH1): 频率=10283.800 Hz, 占空比=42.575 %, 周期=97.240 us</t>
        </is>
      </c>
    </row>
    <row r="203">
      <c r="A203" s="0" t="inlineStr">
        <is>
          <t>OSC24M频率B: 10283.800 Hz, 周期: 97.240 us</t>
        </is>
      </c>
    </row>
    <row r="204">
      <c r="A204" s="0" t="inlineStr">
        <is>
          <t>OSC24M修调码计算结果: 56.85, 四舍五入取整: 57, 搜索范围: 53 ~ 62</t>
        </is>
      </c>
    </row>
    <row r="205">
      <c r="A205" s="0" t="inlineStr">
        <is>
          <t>📝 原始测量值(CH1): 频率=11948.400 Hz, 占空比=42.839 %, 周期=83.693 us</t>
        </is>
      </c>
    </row>
    <row r="206">
      <c r="A206" s="0" t="inlineStr">
        <is>
          <t>测试修调码 53: 频率=11948.400 Hz, 周期=83.693 us, 与目标周期误差=1.142 us</t>
        </is>
      </c>
    </row>
    <row r="207">
      <c r="A207" s="0" t="inlineStr">
        <is>
          <t>📝 原始测量值(CH1): 频率=11927.500 Hz, 占空比=44.084 %, 周期=83.840 us</t>
        </is>
      </c>
    </row>
    <row r="208">
      <c r="A208" s="0" t="inlineStr">
        <is>
          <t>测试修调码 54: 频率=11927.500 Hz, 周期=83.840 us, 与目标周期误差=0.996 us</t>
        </is>
      </c>
    </row>
    <row r="209">
      <c r="A209" s="0" t="inlineStr">
        <is>
          <t>📝 原始测量值(CH1): 频率=12019.200 Hz, 占空比=43.558 %, 周期=83.200 us</t>
        </is>
      </c>
    </row>
    <row r="210">
      <c r="A210" s="0" t="inlineStr">
        <is>
          <t>测试修调码 55: 频率=12019.200 Hz, 周期=83.200 us, 与目标周期误差=1.636 us</t>
        </is>
      </c>
    </row>
    <row r="211">
      <c r="A211" s="0" t="inlineStr">
        <is>
          <t>📝 原始测量值(CH1): 频率=12151.700 Hz, 占空比=42.255 %, 周期=82.293 us</t>
        </is>
      </c>
    </row>
    <row r="212">
      <c r="A212" s="0" t="inlineStr">
        <is>
          <t>测试修调码 56: 频率=12151.700 Hz, 周期=82.293 us, 与目标周期误差=2.542 us</t>
        </is>
      </c>
    </row>
    <row r="213">
      <c r="A213" s="0" t="inlineStr">
        <is>
          <t>📝 原始测量值(CH1): 频率=12207.000 Hz, 占空比=43.555 %, 周期=81.920 us</t>
        </is>
      </c>
    </row>
    <row r="214">
      <c r="A214" s="0" t="inlineStr">
        <is>
          <t>测试修调码 57: 频率=12207.000 Hz, 周期=81.920 us, 与目标周期误差=2.916 us</t>
        </is>
      </c>
    </row>
    <row r="215">
      <c r="A215" s="0" t="inlineStr">
        <is>
          <t>📝 原始测量值(CH1): 频率=12444.000 Hz, 占空比=43.853 %, 周期=80.360 us</t>
        </is>
      </c>
    </row>
    <row r="216">
      <c r="A216" s="0" t="inlineStr">
        <is>
          <t>测试修调码 58: 频率=12444.000 Hz, 周期=80.360 us, 与目标周期误差=4.476 us</t>
        </is>
      </c>
    </row>
    <row r="217">
      <c r="A217" s="0" t="inlineStr">
        <is>
          <t>📝 原始测量值(CH1): 频率=12287.000 Hz, 占空比=43.381 %, 周期=81.387 us</t>
        </is>
      </c>
    </row>
    <row r="218">
      <c r="A218" s="0" t="inlineStr">
        <is>
          <t>测试修调码 59: 频率=12287.000 Hz, 周期=81.387 us, 与目标周期误差=3.449 us</t>
        </is>
      </c>
    </row>
    <row r="219">
      <c r="A219" s="0" t="inlineStr">
        <is>
          <t>📝 原始测量值(CH1): 频率=12525.100 Hz, 占空比=44.289 %, 周期=79.840 us</t>
        </is>
      </c>
    </row>
    <row r="220">
      <c r="A220" s="0" t="inlineStr">
        <is>
          <t>测试修调码 60: 频率=12525.100 Hz, 周期=79.840 us, 与目标周期误差=4.996 us</t>
        </is>
      </c>
    </row>
    <row r="221">
      <c r="A221" s="0" t="inlineStr">
        <is>
          <t>📝 原始测量值(CH1): 频率=12525.100 Hz, 占空比=43.888 %, 周期=79.840 us</t>
        </is>
      </c>
    </row>
    <row r="222">
      <c r="A222" s="0" t="inlineStr">
        <is>
          <t>测试修调码 61: 频率=12525.100 Hz, 周期=79.840 us, 与目标周期误差=4.996 us</t>
        </is>
      </c>
    </row>
    <row r="223">
      <c r="A223" s="0" t="inlineStr">
        <is>
          <t>📝 原始测量值(CH1): 频率=12716.200 Hz, 占空比=46.389 %, 周期=78.640 us</t>
        </is>
      </c>
    </row>
    <row r="224">
      <c r="A224" s="0" t="inlineStr">
        <is>
          <t>测试修调码 62: 频率=12716.200 Hz, 周期=78.640 us, 与目标周期误差=6.196 us</t>
        </is>
      </c>
    </row>
    <row r="225">
      <c r="A225" s="0" t="inlineStr">
        <is>
          <t>📝 原始测量值(CH1): 频率=12011.500 Hz, 占空比=42.585 %, 周期=83.253 us</t>
        </is>
      </c>
    </row>
    <row r="226">
      <c r="A226" s="0" t="inlineStr">
        <is>
          <t>最终OSC24M频率: 12011.500 Hz, 周期: 83.253 us</t>
        </is>
      </c>
    </row>
    <row r="227">
      <c r="A227" s="0" t="inlineStr">
        <is>
          <t>测试目标频率为type_val=11787.5 Hz, 目标周期为84.836 us</t>
        </is>
      </c>
    </row>
    <row r="228">
      <c r="A228" s="0" t="inlineStr">
        <is>
          <t>📝 原始测量值(CH1): 频率=10245.900 Hz, 占空比=43.115 %, 周期=97.600 us</t>
        </is>
      </c>
    </row>
    <row r="229">
      <c r="A229" s="0" t="inlineStr">
        <is>
          <t>OSC24M频率A: 10245.900 Hz, 周期: 97.600 us</t>
        </is>
      </c>
    </row>
    <row r="230">
      <c r="A230" s="0" t="inlineStr">
        <is>
          <t>📝 原始测量值(CH1): 频率=10347.700 Hz, 占空比=42.384 %, 周期=96.640 us</t>
        </is>
      </c>
    </row>
    <row r="231">
      <c r="A231" s="0" t="inlineStr">
        <is>
          <t>OSC24M频率B: 10347.700 Hz, 周期: 96.640 us</t>
        </is>
      </c>
    </row>
    <row r="232">
      <c r="A232" s="0" t="inlineStr">
        <is>
          <t>OSC24M修调码计算结果: 45.30, 四舍五入取整: 45, 搜索范围: 41 ~ 50</t>
        </is>
      </c>
    </row>
    <row r="233">
      <c r="A233" s="0" t="inlineStr">
        <is>
          <t>📝 原始测量值(CH1): 频率=11022.900 Hz, 占空比=43.210 %, 周期=90.720 us</t>
        </is>
      </c>
    </row>
    <row r="234">
      <c r="A234" s="0" t="inlineStr">
        <is>
          <t>测试修调码 41: 频率=11022.900 Hz, 周期=90.720 us, 与目标周期误差=5.884 us</t>
        </is>
      </c>
    </row>
    <row r="235">
      <c r="A235" s="0" t="inlineStr">
        <is>
          <t>📝 原始测量值(CH1): 频率=11081.600 Hz, 占空比=42.908 %, 周期=90.240 us</t>
        </is>
      </c>
    </row>
    <row r="236">
      <c r="A236" s="0" t="inlineStr">
        <is>
          <t>测试修调码 42: 频率=11081.600 Hz, 周期=90.240 us, 与目标周期误差=5.404 us</t>
        </is>
      </c>
    </row>
    <row r="237">
      <c r="A237" s="0" t="inlineStr">
        <is>
          <t>📝 原始测量值(CH1): 频率=11215.800 Hz, 占空比=42.755 %, 周期=89.160 us</t>
        </is>
      </c>
    </row>
    <row r="238">
      <c r="A238" s="0" t="inlineStr">
        <is>
          <t>测试修调码 43: 频率=11215.800 Hz, 周期=89.160 us, 与目标周期误差=4.324 us</t>
        </is>
      </c>
    </row>
    <row r="239">
      <c r="A239" s="0" t="inlineStr">
        <is>
          <t>📝 原始测量值(CH1): 频率=11241.000 Hz, 占空比=43.885 %, 周期=88.960 us</t>
        </is>
      </c>
    </row>
    <row r="240">
      <c r="A240" s="0" t="inlineStr">
        <is>
          <t>测试修调码 44: 频率=11241.000 Hz, 周期=88.960 us, 与目标周期误差=4.124 us</t>
        </is>
      </c>
    </row>
    <row r="241">
      <c r="A241" s="0" t="inlineStr">
        <is>
          <t>📝 原始测量值(CH1): 频率=11384.300 Hz, 占空比=43.169 %, 周期=87.840 us</t>
        </is>
      </c>
    </row>
    <row r="242">
      <c r="A242" s="0" t="inlineStr">
        <is>
          <t>测试修调码 45: 频率=11384.300 Hz, 周期=87.840 us, 与目标周期误差=3.004 us</t>
        </is>
      </c>
    </row>
    <row r="243">
      <c r="A243" s="0" t="inlineStr">
        <is>
          <t>📝 原始测量值(CH1): 频率=11426.000 Hz, 占空比=43.327 %, 周期=87.520 us</t>
        </is>
      </c>
    </row>
    <row r="244">
      <c r="A244" s="0" t="inlineStr">
        <is>
          <t>测试修调码 46: 频率=11426.000 Hz, 周期=87.520 us, 与目标周期误差=2.684 us</t>
        </is>
      </c>
    </row>
    <row r="245">
      <c r="A245" s="0" t="inlineStr">
        <is>
          <t>📝 原始测量值(CH1): 频率=11510.100 Hz, 占空比=42.910 %, 周期=86.880 us</t>
        </is>
      </c>
    </row>
    <row r="246">
      <c r="A246" s="0" t="inlineStr">
        <is>
          <t>测试修调码 47: 频率=11510.100 Hz, 周期=86.880 us, 与目标周期误差=2.044 us</t>
        </is>
      </c>
    </row>
    <row r="247">
      <c r="A247" s="0" t="inlineStr">
        <is>
          <t>📝 原始测量值(CH1): 频率=11606.300 Hz, 占空比=43.268 %, 周期=86.160 us</t>
        </is>
      </c>
    </row>
    <row r="248">
      <c r="A248" s="0" t="inlineStr">
        <is>
          <t>测试修调码 48: 频率=11606.300 Hz, 周期=86.160 us, 与目标周期误差=1.324 us</t>
        </is>
      </c>
    </row>
    <row r="249">
      <c r="A249" s="0" t="inlineStr">
        <is>
          <t>📝 原始测量值(CH1): 频率=11759.200 Hz, 占空比=43.462 %, 周期=85.040 us</t>
        </is>
      </c>
    </row>
    <row r="250">
      <c r="A250" s="0" t="inlineStr">
        <is>
          <t>测试修调码 49: 频率=11759.200 Hz, 周期=85.040 us, 与目标周期误差=0.204 us</t>
        </is>
      </c>
    </row>
    <row r="251">
      <c r="A251" s="0" t="inlineStr">
        <is>
          <t>📝 原始测量值(CH1): 频率=11709.600 Hz, 占空比=43.841 %, 周期=85.400 us</t>
        </is>
      </c>
    </row>
    <row r="252">
      <c r="A252" s="0" t="inlineStr">
        <is>
          <t>测试修调码 50: 频率=11709.600 Hz, 周期=85.400 us, 与目标周期误差=0.564 us</t>
        </is>
      </c>
    </row>
    <row r="253">
      <c r="A253" s="0" t="inlineStr">
        <is>
          <t>📝 原始测量值(CH1): 频率=11704.100 Hz, 占空比=42.884 %, 周期=85.440 us</t>
        </is>
      </c>
    </row>
    <row r="254">
      <c r="A254" s="0" t="inlineStr">
        <is>
          <t>最终OSC24M频率: 11704.100 Hz, 周期: 85.440 us</t>
        </is>
      </c>
    </row>
    <row r="255">
      <c r="A255" s="0" t="inlineStr">
        <is>
          <t>测试目标频率为type_val=11787.5 Hz, 目标周期为84.836 us</t>
        </is>
      </c>
    </row>
    <row r="256">
      <c r="A256" s="0" t="inlineStr">
        <is>
          <t>📝 原始测量值(CH1): 频率=10216.600 Hz, 占空比=43.441 %, 周期=97.880 us</t>
        </is>
      </c>
    </row>
    <row r="257">
      <c r="A257" s="0" t="inlineStr">
        <is>
          <t>OSC24M频率A: 10216.600 Hz, 周期: 97.880 us</t>
        </is>
      </c>
    </row>
    <row r="258">
      <c r="A258" s="0" t="inlineStr">
        <is>
          <t>📝 原始测量值(CH1): 频率=10412.300 Hz, 占空比=43.440 %, 周期=96.040 us</t>
        </is>
      </c>
    </row>
    <row r="259">
      <c r="A259" s="0" t="inlineStr">
        <is>
          <t>OSC24M频率B: 10412.300 Hz, 周期: 96.040 us</t>
        </is>
      </c>
    </row>
    <row r="260">
      <c r="A260" s="0" t="inlineStr">
        <is>
          <t>OSC24M修调码计算结果: 39.09, 四舍五入取整: 39, 搜索范围: 35 ~ 44</t>
        </is>
      </c>
    </row>
    <row r="261">
      <c r="A261" s="0" t="inlineStr">
        <is>
          <t>📝 原始测量值(CH1): 频率=10535.200 Hz, 占空比=42.478 %, 周期=94.920 us</t>
        </is>
      </c>
    </row>
    <row r="262">
      <c r="A262" s="0" t="inlineStr">
        <is>
          <t>测试修调码 35: 频率=10535.200 Hz, 周期=94.920 us, 与目标周期误差=10.084 us</t>
        </is>
      </c>
    </row>
    <row r="263">
      <c r="A263" s="0" t="inlineStr">
        <is>
          <t>📝 原始测量值(CH1): 频率=10593.200 Hz, 占空比=42.881 %, 周期=94.400 us</t>
        </is>
      </c>
    </row>
    <row r="264">
      <c r="A264" s="0" t="inlineStr">
        <is>
          <t>测试修调码 36: 频率=10593.200 Hz, 周期=94.400 us, 与目标周期误差=9.564 us</t>
        </is>
      </c>
    </row>
    <row r="265">
      <c r="A265" s="0" t="inlineStr">
        <is>
          <t>📝 原始测量值(CH1): 频率=10647.400 Hz, 占空比=42.377 %, 周期=93.920 us</t>
        </is>
      </c>
    </row>
    <row r="266">
      <c r="A266" s="0" t="inlineStr">
        <is>
          <t>测试修调码 37: 频率=10647.400 Hz, 周期=93.920 us, 与目标周期误差=9.084 us</t>
        </is>
      </c>
    </row>
    <row r="267">
      <c r="A267" s="0" t="inlineStr">
        <is>
          <t>📝 原始测量值(CH1): 频率=10692.900 Hz, 占空比=43.028 %, 周期=93.520 us</t>
        </is>
      </c>
    </row>
    <row r="268">
      <c r="A268" s="0" t="inlineStr">
        <is>
          <t>测试修调码 38: 频率=10692.900 Hz, 周期=93.520 us, 与目标周期误差=8.684 us</t>
        </is>
      </c>
    </row>
    <row r="269">
      <c r="A269" s="0" t="inlineStr">
        <is>
          <t>📝 原始测量值(CH1): 频率=10822.500 Hz, 占空比=43.117 %, 周期=92.400 us</t>
        </is>
      </c>
    </row>
    <row r="270">
      <c r="A270" s="0" t="inlineStr">
        <is>
          <t>测试修调码 39: 频率=10822.500 Hz, 周期=92.400 us, 与目标周期误差=7.564 us</t>
        </is>
      </c>
    </row>
    <row r="271">
      <c r="A271" s="0" t="inlineStr">
        <is>
          <t>📝 原始测量值(CH1): 频率=10945.700 Hz, 占空比=43.082 %, 周期=91.360 us</t>
        </is>
      </c>
    </row>
    <row r="272">
      <c r="A272" s="0" t="inlineStr">
        <is>
          <t>测试修调码 40: 频率=10945.700 Hz, 周期=91.360 us, 与目标周期误差=6.524 us</t>
        </is>
      </c>
    </row>
    <row r="273">
      <c r="A273" s="0" t="inlineStr">
        <is>
          <t>📝 原始测量值(CH1): 频率=11042.400 Hz, 占空比=43.242 %, 周期=90.560 us</t>
        </is>
      </c>
    </row>
    <row r="274">
      <c r="A274" s="0" t="inlineStr">
        <is>
          <t>测试修调码 41: 频率=11042.400 Hz, 周期=90.560 us, 与目标周期误差=5.724 us</t>
        </is>
      </c>
    </row>
    <row r="275">
      <c r="A275" s="0" t="inlineStr">
        <is>
          <t>📝 原始测量值(CH1): 频率=11101.200 Hz, 占空比=43.295 %, 周期=90.080 us</t>
        </is>
      </c>
    </row>
    <row r="276">
      <c r="A276" s="0" t="inlineStr">
        <is>
          <t>测试修调码 42: 频率=11101.200 Hz, 周期=90.080 us, 与目标周期误差=5.244 us</t>
        </is>
      </c>
    </row>
    <row r="277">
      <c r="A277" s="0" t="inlineStr">
        <is>
          <t>📝 原始测量值(CH1): 频率=11241.000 Hz, 占空比=43.885 %, 周期=88.960 us</t>
        </is>
      </c>
    </row>
    <row r="278">
      <c r="A278" s="0" t="inlineStr">
        <is>
          <t>测试修调码 43: 频率=11241.000 Hz, 周期=88.960 us, 与目标周期误差=4.124 us</t>
        </is>
      </c>
    </row>
    <row r="279">
      <c r="A279" s="0" t="inlineStr">
        <is>
          <t>📝 原始测量值(CH1): 频率=11302.000 Hz, 占空比=42.857 %, 周期=88.480 us</t>
        </is>
      </c>
    </row>
    <row r="280">
      <c r="A280" s="0" t="inlineStr">
        <is>
          <t>测试修调码 44: 频率=11302.000 Hz, 周期=88.480 us, 与目标周期误差=3.644 us</t>
        </is>
      </c>
    </row>
    <row r="281">
      <c r="A281" s="0" t="inlineStr">
        <is>
          <t>📝 原始测量值(CH1): 频率=11302.000 Hz, 占空比=43.219 %, 周期=88.480 us</t>
        </is>
      </c>
    </row>
    <row r="282">
      <c r="A282" s="0" t="inlineStr">
        <is>
          <t>最终OSC24M频率: 11302.000 Hz, 周期: 88.480 us</t>
        </is>
      </c>
    </row>
    <row r="283">
      <c r="A283" s="0" t="inlineStr">
        <is>
          <t>测试目标频率为type_val=11787.5 Hz, 目标周期为84.836 us</t>
        </is>
      </c>
    </row>
    <row r="284">
      <c r="A284" s="0" t="inlineStr">
        <is>
          <t>📝 原始测量值(CH1): 频率=10048.200 Hz, 占空比=43.408 %, 周期=99.520 us</t>
        </is>
      </c>
    </row>
    <row r="285">
      <c r="A285" s="0" t="inlineStr">
        <is>
          <t>OSC24M频率A: 10048.200 Hz, 周期: 99.520 us</t>
        </is>
      </c>
    </row>
    <row r="286">
      <c r="A286" s="0" t="inlineStr">
        <is>
          <t>📝 原始测量值(CH1): 频率=10096.900 Hz, 占空比=42.488 %, 周期=99.040 us</t>
        </is>
      </c>
    </row>
    <row r="287">
      <c r="A287" s="0" t="inlineStr">
        <is>
          <t>OSC24M频率B: 10096.900 Hz, 周期: 99.040 us</t>
        </is>
      </c>
    </row>
    <row r="288">
      <c r="A288" s="0" t="inlineStr">
        <is>
          <t>OSC24M修调码计算结果: 62.59, 四舍五入取整: 63, 搜索范围: 59 ~ 68</t>
        </is>
      </c>
    </row>
    <row r="289">
      <c r="A289" s="0" t="inlineStr">
        <is>
          <t>📝 原始测量值(CH1): 频率=12019.200 Hz, 占空比=43.462 %, 周期=83.200 us</t>
        </is>
      </c>
    </row>
    <row r="290">
      <c r="A290" s="0" t="inlineStr">
        <is>
          <t>测试修调码 59: 频率=12019.200 Hz, 周期=83.200 us, 与目标周期误差=1.636 us</t>
        </is>
      </c>
    </row>
    <row r="291">
      <c r="A291" s="0" t="inlineStr">
        <is>
          <t>📝 原始测量值(CH1): 频率=12266.900 Hz, 占空比=43.474 %, 周期=81.520 us</t>
        </is>
      </c>
    </row>
    <row r="292">
      <c r="A292" s="0" t="inlineStr">
        <is>
          <t>测试修调码 60: 频率=12266.900 Hz, 周期=81.520 us, 与目标周期误差=3.316 us</t>
        </is>
      </c>
    </row>
    <row r="293">
      <c r="A293" s="0" t="inlineStr">
        <is>
          <t>📝 原始测量值(CH1): 频率=12315.300 Hz, 占空比=44.532 %, 周期=81.200 us</t>
        </is>
      </c>
    </row>
    <row r="294">
      <c r="A294" s="0" t="inlineStr">
        <is>
          <t>测试修调码 61: 频率=12315.300 Hz, 周期=81.200 us, 与目标周期误差=3.636 us</t>
        </is>
      </c>
    </row>
    <row r="295">
      <c r="A295" s="0" t="inlineStr">
        <is>
          <t>📝 原始测量值(CH1): 频率=12400.800 Hz, 占空比=44.048 %, 周期=80.640 us</t>
        </is>
      </c>
    </row>
    <row r="296">
      <c r="A296" s="0" t="inlineStr">
        <is>
          <t>测试修调码 62: 频率=12400.800 Hz, 周期=80.640 us, 与目标周期误差=4.196 us</t>
        </is>
      </c>
    </row>
    <row r="297">
      <c r="A297" s="0" t="inlineStr">
        <is>
          <t>📝 原始测量值(CH1): 频率=12315.300 Hz, 占空比=42.956 %, 周期=81.200 us</t>
        </is>
      </c>
    </row>
    <row r="298">
      <c r="A298" s="0" t="inlineStr">
        <is>
          <t>测试修调码 63: 频率=12315.300 Hz, 周期=81.200 us, 与目标周期误差=3.636 us</t>
        </is>
      </c>
    </row>
    <row r="299">
      <c r="A299" s="0" t="inlineStr">
        <is>
          <t>📝 原始测量值(CH1): 频率=12159.500 Hz, 占空比=43.191 %, 周期=82.240 us</t>
        </is>
      </c>
    </row>
    <row r="300">
      <c r="A300" s="0" t="inlineStr">
        <is>
          <t>最终OSC24M频率: 12159.500 Hz, 周期: 82.240 us</t>
        </is>
      </c>
    </row>
    <row r="301">
      <c r="A301" s="0" t="inlineStr">
        <is>
          <t>测试目标频率为type_val=11787.5 Hz, 目标周期为84.836 us</t>
        </is>
      </c>
    </row>
    <row r="302">
      <c r="A302" s="0" t="inlineStr">
        <is>
          <t>📝 原始测量值(CH1): 频率=10313.500 Hz, 占空比=42.574 %, 周期=96.960 us</t>
        </is>
      </c>
    </row>
    <row r="303">
      <c r="A303" s="0" t="inlineStr">
        <is>
          <t>OSC24M频率A: 10313.500 Hz, 周期: 96.960 us</t>
        </is>
      </c>
    </row>
    <row r="304">
      <c r="A304" s="0" t="inlineStr">
        <is>
          <t>📝 原始测量值(CH1): 频率=10373.400 Hz, 占空比=43.154 %, 周期=96.400 us</t>
        </is>
      </c>
    </row>
    <row r="305">
      <c r="A305" s="0" t="inlineStr">
        <is>
          <t>OSC24M频率B: 10373.400 Hz, 周期: 96.400 us</t>
        </is>
      </c>
    </row>
    <row r="306">
      <c r="A306" s="0" t="inlineStr">
        <is>
          <t>OSC24M修调码计算结果: 53.65, 四舍五入取整: 54, 搜索范围: 50 ~ 59</t>
        </is>
      </c>
    </row>
    <row r="307">
      <c r="A307" s="0" t="inlineStr">
        <is>
          <t>📝 原始测量值(CH1): 频率=11715.100 Hz, 占空比=43.768 %, 周期=85.360 us</t>
        </is>
      </c>
    </row>
    <row r="308">
      <c r="A308" s="0" t="inlineStr">
        <is>
          <t>测试修调码 50: 频率=11715.100 Hz, 周期=85.360 us, 与目标周期误差=0.524 us</t>
        </is>
      </c>
    </row>
    <row r="309">
      <c r="A309" s="0" t="inlineStr">
        <is>
          <t>📝 原始测量值(CH1): 频率=11916.100 Hz, 占空比=43.565 %, 周期=83.920 us</t>
        </is>
      </c>
    </row>
    <row r="310">
      <c r="A310" s="0" t="inlineStr">
        <is>
          <t>测试修调码 51: 频率=11916.100 Hz, 周期=83.920 us, 与目标周期误差=0.916 us</t>
        </is>
      </c>
    </row>
    <row r="311">
      <c r="A311" s="0" t="inlineStr">
        <is>
          <t>📝 原始测量值(CH1): 频率=12007.700 Hz, 占空比=43.132 %, 周期=83.280 us</t>
        </is>
      </c>
    </row>
    <row r="312">
      <c r="A312" s="0" t="inlineStr">
        <is>
          <t>测试修调码 52: 频率=12007.700 Hz, 周期=83.280 us, 与目标周期误差=1.556 us</t>
        </is>
      </c>
    </row>
    <row r="313">
      <c r="A313" s="0" t="inlineStr">
        <is>
          <t>📝 原始测量值(CH1): 频率=12112.400 Hz, 占空比=42.636 %, 周期=82.560 us</t>
        </is>
      </c>
    </row>
    <row r="314">
      <c r="A314" s="0" t="inlineStr">
        <is>
          <t>测试修调码 53: 频率=12112.400 Hz, 周期=82.560 us, 与目标周期误差=2.276 us</t>
        </is>
      </c>
    </row>
    <row r="315">
      <c r="A315" s="0" t="inlineStr">
        <is>
          <t>📝 原始测量值(CH1): 频率=12089.000 Hz, 占空比=44.101 %, 周期=82.720 us</t>
        </is>
      </c>
    </row>
    <row r="316">
      <c r="A316" s="0" t="inlineStr">
        <is>
          <t>测试修调码 54: 频率=12089.000 Hz, 周期=82.720 us, 与目标周期误差=2.116 us</t>
        </is>
      </c>
    </row>
    <row r="317">
      <c r="A317" s="0" t="inlineStr">
        <is>
          <t>📝 原始测量值(CH1): 频率=12351.800 Hz, 占空比=43.346 %, 周期=80.960 us</t>
        </is>
      </c>
    </row>
    <row r="318">
      <c r="A318" s="0" t="inlineStr">
        <is>
          <t>测试修调码 55: 频率=12351.800 Hz, 周期=80.960 us, 与目标周期误差=3.876 us</t>
        </is>
      </c>
    </row>
    <row r="319">
      <c r="A319" s="0" t="inlineStr">
        <is>
          <t>📝 原始测量值(CH1): 频率=12339.600 Hz, 占空比=42.744 %, 周期=81.040 us</t>
        </is>
      </c>
    </row>
    <row r="320">
      <c r="A320" s="0" t="inlineStr">
        <is>
          <t>测试修调码 56: 频率=12339.600 Hz, 周期=81.040 us, 与目标周期误差=3.796 us</t>
        </is>
      </c>
    </row>
    <row r="321">
      <c r="A321" s="0" t="inlineStr">
        <is>
          <t>📝 原始测量值(CH1): 频率=12351.800 Hz, 占空比=42.688 %, 周期=80.960 us</t>
        </is>
      </c>
    </row>
    <row r="322">
      <c r="A322" s="0" t="inlineStr">
        <is>
          <t>测试修调码 57: 频率=12351.800 Hz, 周期=80.960 us, 与目标周期误差=3.876 us</t>
        </is>
      </c>
    </row>
    <row r="323">
      <c r="A323" s="0" t="inlineStr">
        <is>
          <t>📝 原始测量值(CH1): 频率=12550.200 Hz, 占空比=43.775 %, 周期=79.680 us</t>
        </is>
      </c>
    </row>
    <row r="324">
      <c r="A324" s="0" t="inlineStr">
        <is>
          <t>测试修调码 58: 频率=12550.200 Hz, 周期=79.680 us, 与目标周期误差=5.156 us</t>
        </is>
      </c>
    </row>
    <row r="325">
      <c r="A325" s="0" t="inlineStr">
        <is>
          <t>📝 原始测量值(CH1): 频率=12550.200 Hz, 占空比=43.775 %, 周期=79.680 us</t>
        </is>
      </c>
    </row>
    <row r="326">
      <c r="A326" s="0" t="inlineStr">
        <is>
          <t>测试修调码 59: 频率=12550.200 Hz, 周期=79.680 us, 与目标周期误差=5.156 us</t>
        </is>
      </c>
    </row>
    <row r="327">
      <c r="A327" s="0" t="inlineStr">
        <is>
          <t>📝 原始测量值(CH1): 频率=11882.100 Hz, 占空比=42.586 %, 周期=84.160 us</t>
        </is>
      </c>
    </row>
    <row r="328">
      <c r="A328" s="0" t="inlineStr">
        <is>
          <t>最终OSC24M频率: 11882.100 Hz, 周期: 84.160 us</t>
        </is>
      </c>
    </row>
    <row r="329">
      <c r="A329" s="0" t="inlineStr">
        <is>
          <t>测试目标频率为type_val=11787.5 Hz, 目标周期为84.836 us</t>
        </is>
      </c>
    </row>
    <row r="330">
      <c r="A330" s="0" t="inlineStr">
        <is>
          <t>📝 原始测量值(CH1): 频率=10364.800 Hz, 占空比=43.449 %, 周期=96.480 us</t>
        </is>
      </c>
    </row>
    <row r="331">
      <c r="A331" s="0" t="inlineStr">
        <is>
          <t>OSC24M频率A: 10364.800 Hz, 周期: 96.480 us</t>
        </is>
      </c>
    </row>
    <row r="332">
      <c r="A332" s="0" t="inlineStr">
        <is>
          <t>📝 原始测量值(CH1): 频率=10421.000 Hz, 占空比=42.476 %, 周期=95.960 us</t>
        </is>
      </c>
    </row>
    <row r="333">
      <c r="A333" s="0" t="inlineStr">
        <is>
          <t>OSC24M频率B: 10421.000 Hz, 周期: 95.960 us</t>
        </is>
      </c>
    </row>
    <row r="334">
      <c r="A334" s="0" t="inlineStr">
        <is>
          <t>OSC24M修调码计算结果: 54.39, 四舍五入取整: 54, 搜索范围: 50 ~ 59</t>
        </is>
      </c>
    </row>
    <row r="335">
      <c r="A335" s="0" t="inlineStr">
        <is>
          <t>📝 原始测量值(CH1): 频率=11882.100 Hz, 占空比=43.536 %, 周期=84.160 us</t>
        </is>
      </c>
    </row>
    <row r="336">
      <c r="A336" s="0" t="inlineStr">
        <is>
          <t>测试修调码 50: 频率=11882.100 Hz, 周期=84.160 us, 与目标周期误差=0.676 us</t>
        </is>
      </c>
    </row>
    <row r="337">
      <c r="A337" s="0" t="inlineStr">
        <is>
          <t>📝 原始测量值(CH1): 频率=12003.800 Hz, 占空比=42.830 %, 周期=83.307 us</t>
        </is>
      </c>
    </row>
    <row r="338">
      <c r="A338" s="0" t="inlineStr">
        <is>
          <t>测试修调码 51: 频率=12003.800 Hz, 周期=83.307 us, 与目标周期误差=1.529 us</t>
        </is>
      </c>
    </row>
    <row r="339">
      <c r="A339" s="0" t="inlineStr">
        <is>
          <t>📝 原始测量值(CH1): 频率=12159.500 Hz, 占空比=43.191 %, 周期=82.240 us</t>
        </is>
      </c>
    </row>
    <row r="340">
      <c r="A340" s="0" t="inlineStr">
        <is>
          <t>测试修调码 52: 频率=12159.500 Hz, 周期=82.240 us, 与目标周期误差=2.596 us</t>
        </is>
      </c>
    </row>
    <row r="341">
      <c r="A341" s="0" t="inlineStr">
        <is>
          <t>📝 原始测量值(CH1): 频率=12207.000 Hz, 占空比=43.164 %, 周期=81.920 us</t>
        </is>
      </c>
    </row>
    <row r="342">
      <c r="A342" s="0" t="inlineStr">
        <is>
          <t>测试修调码 53: 频率=12207.000 Hz, 周期=81.920 us, 与目标周期误差=2.916 us</t>
        </is>
      </c>
    </row>
    <row r="343">
      <c r="A343" s="0" t="inlineStr">
        <is>
          <t>📝 原始测量值(CH1): 频率=12351.800 Hz, 占空比=43.478 %, 周期=80.960 us</t>
        </is>
      </c>
    </row>
    <row r="344">
      <c r="A344" s="0" t="inlineStr">
        <is>
          <t>测试修调码 54: 频率=12351.800 Hz, 周期=80.960 us, 与目标周期误差=3.876 us</t>
        </is>
      </c>
    </row>
    <row r="345">
      <c r="A345" s="0" t="inlineStr">
        <is>
          <t>📝 原始测量值(CH1): 频率=12376.200 Hz, 占空比=43.168 %, 周期=80.800 us</t>
        </is>
      </c>
    </row>
    <row r="346">
      <c r="A346" s="0" t="inlineStr">
        <is>
          <t>测试修调码 55: 频率=12376.200 Hz, 周期=80.800 us, 与目标周期误差=4.036 us</t>
        </is>
      </c>
    </row>
    <row r="347">
      <c r="A347" s="0" t="inlineStr">
        <is>
          <t>📝 原始测量值(CH1): 频率=12425.400 Hz, 占空比=44.086 %, 周期=80.480 us</t>
        </is>
      </c>
    </row>
    <row r="348">
      <c r="A348" s="0" t="inlineStr">
        <is>
          <t>测试修调码 56: 频率=12425.400 Hz, 周期=80.480 us, 与目标周期误差=4.356 us</t>
        </is>
      </c>
    </row>
    <row r="349">
      <c r="A349" s="0" t="inlineStr">
        <is>
          <t>📝 原始测量值(CH1): 频率=12575.500 Hz, 占空比=42.052 %, 周期=79.520 us</t>
        </is>
      </c>
    </row>
    <row r="350">
      <c r="A350" s="0" t="inlineStr">
        <is>
          <t>测试修调码 57: 频率=12575.500 Hz, 周期=79.520 us, 与目标周期误差=5.316 us</t>
        </is>
      </c>
    </row>
    <row r="351">
      <c r="A351" s="0" t="inlineStr">
        <is>
          <t>📝 原始测量值(CH1): 频率=12658.200 Hz, 占空比=43.696 %, 周期=79.000 us</t>
        </is>
      </c>
    </row>
    <row r="352">
      <c r="A352" s="0" t="inlineStr">
        <is>
          <t>测试修调码 58: 频率=12658.200 Hz, 周期=79.000 us, 与目标周期误差=5.836 us</t>
        </is>
      </c>
    </row>
    <row r="353">
      <c r="A353" s="0" t="inlineStr">
        <is>
          <t>📝 原始测量值(CH1): 频率=12671.100 Hz, 占空比=44.146 %, 周期=78.920 us</t>
        </is>
      </c>
    </row>
    <row r="354">
      <c r="A354" s="0" t="inlineStr">
        <is>
          <t>测试修调码 59: 频率=12671.100 Hz, 周期=78.920 us, 与目标周期误差=5.916 us</t>
        </is>
      </c>
    </row>
    <row r="355">
      <c r="A355" s="0" t="inlineStr">
        <is>
          <t>📝 原始测量值(CH1): 频率=12042.400 Hz, 占空比=42.582 %, 周期=83.040 us</t>
        </is>
      </c>
    </row>
    <row r="356">
      <c r="A356" s="0" t="inlineStr">
        <is>
          <t>最终OSC24M频率: 12042.400 Hz, 周期: 83.040 us</t>
        </is>
      </c>
    </row>
    <row r="357">
      <c r="A357" s="0" t="inlineStr">
        <is>
          <t>测试目标频率为type_val=11787.5 Hz, 目标周期为84.836 us</t>
        </is>
      </c>
    </row>
    <row r="358">
      <c r="A358" s="0" t="inlineStr">
        <is>
          <t>📝 原始测量值(CH1): 频率=11197.900 Hz, 占空比=49.713 %, 周期=89.303 us</t>
        </is>
      </c>
    </row>
    <row r="359">
      <c r="A359" s="0" t="inlineStr">
        <is>
          <t>OSC24M频率A: 11197.900 Hz, 周期: 89.303 us</t>
        </is>
      </c>
    </row>
    <row r="360">
      <c r="A360" s="0" t="inlineStr">
        <is>
          <t>📝 原始测量值(CH1): 频率=11290.100 Hz, 占空比=49.704 %, 周期=88.573 us</t>
        </is>
      </c>
    </row>
    <row r="361">
      <c r="A361" s="0" t="inlineStr">
        <is>
          <t>OSC24M频率B: 11290.100 Hz, 周期: 88.573 us</t>
        </is>
      </c>
    </row>
    <row r="362">
      <c r="A362" s="0" t="inlineStr">
        <is>
          <t>OSC24M修调码计算结果: 38.12, 四舍五入取整: 38, 搜索范围: 34 ~ 43</t>
        </is>
      </c>
    </row>
    <row r="363">
      <c r="A363" s="0" t="inlineStr">
        <is>
          <t>📝 原始测量值(CH1): 频率=11394.600 Hz, 占空比=49.713 %, 周期=87.761 us</t>
        </is>
      </c>
    </row>
    <row r="364">
      <c r="A364" s="0" t="inlineStr">
        <is>
          <t>测试修调码 34: 频率=11394.600 Hz, 周期=87.761 us, 与目标周期误差=2.925 us</t>
        </is>
      </c>
    </row>
    <row r="365">
      <c r="A365" s="0" t="inlineStr">
        <is>
          <t>📝 原始测量值(CH1): 频率=11501.100 Hz, 占空比=49.718 %, 周期=86.949 us</t>
        </is>
      </c>
    </row>
    <row r="366">
      <c r="A366" s="0" t="inlineStr">
        <is>
          <t>测试修调码 35: 频率=11501.100 Hz, 周期=86.949 us, 与目标周期误差=2.113 us</t>
        </is>
      </c>
    </row>
    <row r="367">
      <c r="A367" s="0" t="inlineStr">
        <is>
          <t>📝 原始测量值(CH1): 频率=11591.200 Hz, 占空比=49.696 %, 周期=86.272 us</t>
        </is>
      </c>
    </row>
    <row r="368">
      <c r="A368" s="0" t="inlineStr">
        <is>
          <t>测试修调码 36: 频率=11591.200 Hz, 周期=86.272 us, 与目标周期误差=1.436 us</t>
        </is>
      </c>
    </row>
    <row r="369">
      <c r="A369" s="0" t="inlineStr">
        <is>
          <t>📝 原始测量值(CH1): 频率=11680.600 Hz, 占空比=49.712 %, 周期=85.612 us</t>
        </is>
      </c>
    </row>
    <row r="370">
      <c r="A370" s="0" t="inlineStr">
        <is>
          <t>测试修调码 37: 频率=11680.600 Hz, 周期=85.612 us, 与目标周期误差=0.777 us</t>
        </is>
      </c>
    </row>
    <row r="371">
      <c r="A371" s="0" t="inlineStr">
        <is>
          <t>📝 原始测量值(CH1): 频率=11775.900 Hz, 占空比=49.710 %, 周期=84.919 us</t>
        </is>
      </c>
    </row>
    <row r="372">
      <c r="A372" s="0" t="inlineStr">
        <is>
          <t>测试修调码 38: 频率=11775.900 Hz, 周期=84.919 us, 与目标周期误差=0.084 us</t>
        </is>
      </c>
    </row>
    <row r="373">
      <c r="A373" s="0" t="inlineStr">
        <is>
          <t>📝 原始测量值(CH1): 频率=11882.100 Hz, 占空比=49.715 %, 周期=84.160 us</t>
        </is>
      </c>
    </row>
    <row r="374">
      <c r="A374" s="0" t="inlineStr">
        <is>
          <t>测试修调码 39: 频率=11882.100 Hz, 周期=84.160 us, 与目标周期误差=0.676 us</t>
        </is>
      </c>
    </row>
    <row r="375">
      <c r="A375" s="0" t="inlineStr">
        <is>
          <t>📝 原始测量值(CH1): 频率=11966.000 Hz, 占空比=49.711 %, 周期=83.570 us</t>
        </is>
      </c>
    </row>
    <row r="376">
      <c r="A376" s="0" t="inlineStr">
        <is>
          <t>测试修调码 40: 频率=11966.000 Hz, 周期=83.570 us, 与目标周期误差=1.266 us</t>
        </is>
      </c>
    </row>
    <row r="377">
      <c r="A377" s="0" t="inlineStr">
        <is>
          <t>📝 原始测量值(CH1): 频率=12059.000 Hz, 占空比=49.713 %, 周期=82.926 us</t>
        </is>
      </c>
    </row>
    <row r="378">
      <c r="A378" s="0" t="inlineStr">
        <is>
          <t>测试修调码 41: 频率=12059.000 Hz, 周期=82.926 us, 与目标周期误差=1.910 us</t>
        </is>
      </c>
    </row>
    <row r="379">
      <c r="A379" s="0" t="inlineStr">
        <is>
          <t>📝 原始测量值(CH1): 频率=12175.300 Hz, 占空比=49.675 %, 周期=82.133 us</t>
        </is>
      </c>
    </row>
    <row r="380">
      <c r="A380" s="0" t="inlineStr">
        <is>
          <t>测试修调码 42: 频率=12175.300 Hz, 周期=82.133 us, 与目标周期误差=2.702 us</t>
        </is>
      </c>
    </row>
    <row r="381">
      <c r="A381" s="0" t="inlineStr">
        <is>
          <t>📝 原始测量值(CH1): 频率=12264.600 Hz, 占空比=49.709 %, 周期=81.536 us</t>
        </is>
      </c>
    </row>
    <row r="382">
      <c r="A382" s="0" t="inlineStr">
        <is>
          <t>测试修调码 43: 频率=12264.600 Hz, 周期=81.536 us, 与目标周期误差=3.300 us</t>
        </is>
      </c>
    </row>
    <row r="383">
      <c r="A383" s="0" t="inlineStr">
        <is>
          <t>📝 原始测量值(CH1): 频率=11782.300 Hz, 占空比=49.730 %, 周期=84.873 us</t>
        </is>
      </c>
    </row>
    <row r="384">
      <c r="A384" s="0" t="inlineStr">
        <is>
          <t>最终OSC24M频率: 11782.300 Hz, 周期: 84.873 us</t>
        </is>
      </c>
    </row>
    <row r="385">
      <c r="A385" s="0" t="inlineStr">
        <is>
          <t>测试目标频率为type_val=11787.5 Hz, 目标周期为84.836 us</t>
        </is>
      </c>
    </row>
    <row r="386">
      <c r="A386" s="0" t="inlineStr">
        <is>
          <t>📝 原始测量值(CH1): 频率=10412.700 Hz, 占空比=49.748 %, 周期=96.037 us</t>
        </is>
      </c>
    </row>
    <row r="387">
      <c r="A387" s="0" t="inlineStr">
        <is>
          <t>OSC24M频率A: 10412.700 Hz, 周期: 96.037 us</t>
        </is>
      </c>
    </row>
    <row r="388">
      <c r="A388" s="0" t="inlineStr">
        <is>
          <t>📝 原始测量值(CH1): 频率=10496.100 Hz, 占空比=49.737 %, 周期=95.274 us</t>
        </is>
      </c>
    </row>
    <row r="389">
      <c r="A389" s="0" t="inlineStr">
        <is>
          <t>OSC24M频率B: 10496.100 Hz, 周期: 95.274 us</t>
        </is>
      </c>
    </row>
    <row r="390">
      <c r="A390" s="0" t="inlineStr">
        <is>
          <t>OSC24M修调码计算结果: 46.68, 四舍五入取整: 47, 搜索范围: 43 ~ 52</t>
        </is>
      </c>
    </row>
    <row r="391">
      <c r="A391" s="0" t="inlineStr">
        <is>
          <t>📝 原始测量值(CH1): 频率=11337.700 Hz, 占空比=49.747 %, 周期=88.201 us</t>
        </is>
      </c>
    </row>
    <row r="392">
      <c r="A392" s="0" t="inlineStr">
        <is>
          <t>测试修调码 43: 频率=11337.700 Hz, 周期=88.201 us, 与目标周期误差=3.365 us</t>
        </is>
      </c>
    </row>
    <row r="393">
      <c r="A393" s="0" t="inlineStr">
        <is>
          <t>📝 原始测量值(CH1): 频率=11417.000 Hz, 占空比=49.732 %, 周期=87.589 us</t>
        </is>
      </c>
    </row>
    <row r="394">
      <c r="A394" s="0" t="inlineStr">
        <is>
          <t>测试修调码 44: 频率=11417.000 Hz, 周期=87.589 us, 与目标周期误差=2.753 us</t>
        </is>
      </c>
    </row>
    <row r="395">
      <c r="A395" s="0" t="inlineStr">
        <is>
          <t>📝 原始测量值(CH1): 频率=11501.100 Hz, 占空比=49.724 %, 周期=86.949 us</t>
        </is>
      </c>
    </row>
    <row r="396">
      <c r="A396" s="0" t="inlineStr">
        <is>
          <t>测试修调码 45: 频率=11501.100 Hz, 周期=86.949 us, 与目标周期误差=2.113 us</t>
        </is>
      </c>
    </row>
    <row r="397">
      <c r="A397" s="0" t="inlineStr">
        <is>
          <t>📝 原始测量值(CH1): 频率=11580.200 Hz, 占空比=49.716 %, 周期=86.354 us</t>
        </is>
      </c>
    </row>
    <row r="398">
      <c r="A398" s="0" t="inlineStr">
        <is>
          <t>测试修调码 46: 频率=11580.200 Hz, 周期=86.354 us, 与目标周期误差=1.519 us</t>
        </is>
      </c>
    </row>
    <row r="399">
      <c r="A399" s="0" t="inlineStr">
        <is>
          <t>📝 原始测量值(CH1): 频率=11650.700 Hz, 占空比=49.701 %, 周期=85.832 us</t>
        </is>
      </c>
    </row>
    <row r="400">
      <c r="A400" s="0" t="inlineStr">
        <is>
          <t>测试修调码 47: 频率=11650.700 Hz, 周期=85.832 us, 与目标周期误差=0.996 us</t>
        </is>
      </c>
    </row>
    <row r="401">
      <c r="A401" s="0" t="inlineStr">
        <is>
          <t>📝 原始测量值(CH1): 频率=11739.700 Hz, 占空比=49.732 %, 周期=85.181 us</t>
        </is>
      </c>
    </row>
    <row r="402">
      <c r="A402" s="0" t="inlineStr">
        <is>
          <t>测试修调码 48: 频率=11739.700 Hz, 周期=85.181 us, 与目标周期误差=0.345 us</t>
        </is>
      </c>
    </row>
    <row r="403">
      <c r="A403" s="0" t="inlineStr">
        <is>
          <t>📝 原始测量值(CH1): 频率=11813.100 Hz, 占空比=49.712 %, 周期=84.652 us</t>
        </is>
      </c>
    </row>
    <row r="404">
      <c r="A404" s="0" t="inlineStr">
        <is>
          <t>测试修调码 49: 频率=11813.100 Hz, 周期=84.652 us, 与目标周期误差=0.184 us</t>
        </is>
      </c>
    </row>
    <row r="405">
      <c r="A405" s="0" t="inlineStr">
        <is>
          <t>📝 原始测量值(CH1): 频率=11896.000 Hz, 占空比=49.719 %, 周期=84.062 us</t>
        </is>
      </c>
    </row>
    <row r="406">
      <c r="A406" s="0" t="inlineStr">
        <is>
          <t>测试修调码 50: 频率=11896.000 Hz, 周期=84.062 us, 与目标周期误差=0.774 us</t>
        </is>
      </c>
    </row>
    <row r="407">
      <c r="A407" s="0" t="inlineStr">
        <is>
          <t>📝 原始测量值(CH1): 频率=11976.900 Hz, 占空比=49.675 %, 周期=83.494 us</t>
        </is>
      </c>
    </row>
    <row r="408">
      <c r="A408" s="0" t="inlineStr">
        <is>
          <t>测试修调码 51: 频率=11976.900 Hz, 周期=83.494 us, 与目标周期误差=1.341 us</t>
        </is>
      </c>
    </row>
    <row r="409">
      <c r="A409" s="0" t="inlineStr">
        <is>
          <t>📝 原始测量值(CH1): 频率=12048.600 Hz, 占空比=49.695 %, 周期=82.997 us</t>
        </is>
      </c>
    </row>
    <row r="410">
      <c r="A410" s="0" t="inlineStr">
        <is>
          <t>测试修调码 52: 频率=12048.600 Hz, 周期=82.997 us, 与目标周期误差=1.838 us</t>
        </is>
      </c>
    </row>
    <row r="411">
      <c r="A411" s="0" t="inlineStr">
        <is>
          <t>📝 原始测量值(CH1): 频率=11818.900 Hz, 占空比=49.724 %, 周期=84.610 us</t>
        </is>
      </c>
    </row>
    <row r="412">
      <c r="A412" s="0" t="inlineStr">
        <is>
          <t>最终OSC24M频率: 11818.900 Hz, 周期: 84.610 us</t>
        </is>
      </c>
    </row>
    <row r="413">
      <c r="A413" s="0" t="inlineStr">
        <is>
          <t>测试目标频率为type_val=11787.5 Hz, 目标周期为84.836 us</t>
        </is>
      </c>
    </row>
    <row r="414">
      <c r="A414" s="0" t="inlineStr">
        <is>
          <t>📝 原始测量值(CH1): 频率=10613.100 Hz, 占空比=49.746 %, 周期=94.223 us</t>
        </is>
      </c>
    </row>
    <row r="415">
      <c r="A415" s="0" t="inlineStr">
        <is>
          <t>OSC24M频率A: 10613.100 Hz, 周期: 94.223 us</t>
        </is>
      </c>
    </row>
    <row r="416">
      <c r="A416" s="0" t="inlineStr">
        <is>
          <t>📝 原始测量值(CH1): 频率=10703.900 Hz, 占空比=49.709 %, 周期=93.424 us</t>
        </is>
      </c>
    </row>
    <row r="417">
      <c r="A417" s="0" t="inlineStr">
        <is>
          <t>OSC24M频率B: 10703.900 Hz, 周期: 93.424 us</t>
        </is>
      </c>
    </row>
    <row r="418">
      <c r="A418" s="0" t="inlineStr">
        <is>
          <t>OSC24M修调码计算结果: 43.75, 四舍五入取整: 44, 搜索范围: 40 ~ 49</t>
        </is>
      </c>
    </row>
    <row r="419">
      <c r="A419" s="0" t="inlineStr">
        <is>
          <t>📝 原始测量值(CH1): 频率=11330.200 Hz, 占空比=49.709 %, 周期=88.260 us</t>
        </is>
      </c>
    </row>
    <row r="420">
      <c r="A420" s="0" t="inlineStr">
        <is>
          <t>测试修调码 40: 频率=11330.200 Hz, 周期=88.260 us, 与目标周期误差=3.424 us</t>
        </is>
      </c>
    </row>
    <row r="421">
      <c r="A421" s="0" t="inlineStr">
        <is>
          <t>📝 原始测量值(CH1): 频率=11421.900 Hz, 占空比=49.706 %, 周期=87.551 us</t>
        </is>
      </c>
    </row>
    <row r="422">
      <c r="A422" s="0" t="inlineStr">
        <is>
          <t>测试修调码 41: 频率=11421.900 Hz, 周期=87.551 us, 与目标周期误差=2.715 us</t>
        </is>
      </c>
    </row>
    <row r="423">
      <c r="A423" s="0" t="inlineStr">
        <is>
          <t>📝 原始测量值(CH1): 频率=11505.200 Hz, 占空比=49.729 %, 周期=86.917 us</t>
        </is>
      </c>
    </row>
    <row r="424">
      <c r="A424" s="0" t="inlineStr">
        <is>
          <t>测试修调码 42: 频率=11505.200 Hz, 周期=86.917 us, 与目标周期误差=2.081 us</t>
        </is>
      </c>
    </row>
    <row r="425">
      <c r="A425" s="0" t="inlineStr">
        <is>
          <t>📝 原始测量值(CH1): 频率=11587.700 Hz, 占空比=49.715 %, 周期=86.298 us</t>
        </is>
      </c>
    </row>
    <row r="426">
      <c r="A426" s="0" t="inlineStr">
        <is>
          <t>测试修调码 43: 频率=11587.700 Hz, 周期=86.298 us, 与目标周期误差=1.463 us</t>
        </is>
      </c>
    </row>
    <row r="427">
      <c r="A427" s="0" t="inlineStr">
        <is>
          <t>📝 原始测量值(CH1): 频率=11675.000 Hz, 占空比=49.720 %, 周期=85.653 us</t>
        </is>
      </c>
    </row>
    <row r="428">
      <c r="A428" s="0" t="inlineStr">
        <is>
          <t>测试修调码 44: 频率=11675.000 Hz, 周期=85.653 us, 与目标周期误差=0.818 us</t>
        </is>
      </c>
    </row>
    <row r="429">
      <c r="A429" s="0" t="inlineStr">
        <is>
          <t>📝 原始测量值(CH1): 频率=11763.200 Hz, 占空比=49.715 %, 周期=85.011 us</t>
        </is>
      </c>
    </row>
    <row r="430">
      <c r="A430" s="0" t="inlineStr">
        <is>
          <t>测试修调码 45: 频率=11763.200 Hz, 周期=85.011 us, 与目标周期误差=0.175 us</t>
        </is>
      </c>
    </row>
    <row r="431">
      <c r="A431" s="0" t="inlineStr">
        <is>
          <t>📝 原始测量值(CH1): 频率=11848.300 Hz, 占空比=49.691 %, 周期=84.400 us</t>
        </is>
      </c>
    </row>
    <row r="432">
      <c r="A432" s="0" t="inlineStr">
        <is>
          <t>测试修调码 46: 频率=11848.300 Hz, 周期=84.400 us, 与目标周期误差=0.436 us</t>
        </is>
      </c>
    </row>
    <row r="433">
      <c r="A433" s="0" t="inlineStr">
        <is>
          <t>📝 原始测量值(CH1): 频率=11932.000 Hz, 占空比=49.694 %, 周期=83.808 us</t>
        </is>
      </c>
    </row>
    <row r="434">
      <c r="A434" s="0" t="inlineStr">
        <is>
          <t>测试修调码 47: 频率=11932.000 Hz, 周期=83.808 us, 与目标周期误差=1.028 us</t>
        </is>
      </c>
    </row>
    <row r="435">
      <c r="A435" s="0" t="inlineStr">
        <is>
          <t>📝 原始测量值(CH1): 频率=12009.600 Hz, 占空比=49.683 %, 周期=83.267 us</t>
        </is>
      </c>
    </row>
    <row r="436">
      <c r="A436" s="0" t="inlineStr">
        <is>
          <t>测试修调码 48: 频率=12009.600 Hz, 周期=83.267 us, 与目标周期误差=1.569 us</t>
        </is>
      </c>
    </row>
    <row r="437">
      <c r="A437" s="0" t="inlineStr">
        <is>
          <t>📝 原始测量值(CH1): 频率=12096.800 Hz, 占空比=49.707 %, 周期=82.667 us</t>
        </is>
      </c>
    </row>
    <row r="438">
      <c r="A438" s="0" t="inlineStr">
        <is>
          <t>测试修调码 49: 频率=12096.800 Hz, 周期=82.667 us, 与目标周期误差=2.169 us</t>
        </is>
      </c>
    </row>
    <row r="439">
      <c r="A439" s="0" t="inlineStr">
        <is>
          <t>📝 原始测量值(CH1): 频率=11764.900 Hz, 占空比=49.711 %, 周期=84.999 us</t>
        </is>
      </c>
    </row>
    <row r="440">
      <c r="A440" s="0" t="inlineStr">
        <is>
          <t>最终OSC24M频率: 11764.900 Hz, 周期: 84.999 us</t>
        </is>
      </c>
    </row>
    <row r="441">
      <c r="A441" s="0" t="inlineStr">
        <is>
          <t>测试目标频率为type_val=11787.5 Hz, 目标周期为84.836 us</t>
        </is>
      </c>
    </row>
    <row r="442">
      <c r="A442" s="0" t="inlineStr">
        <is>
          <t>📝 原始测量值(CH1): 频率=10414.200 Hz, 占空比=49.741 %, 周期=96.023 us</t>
        </is>
      </c>
    </row>
    <row r="443">
      <c r="A443" s="0" t="inlineStr">
        <is>
          <t>OSC24M频率A: 10414.200 Hz, 周期: 96.023 us</t>
        </is>
      </c>
    </row>
    <row r="444">
      <c r="A444" s="0" t="inlineStr">
        <is>
          <t>📝 原始测量值(CH1): 频率=10503.700 Hz, 占空比=49.745 %, 周期=95.205 us</t>
        </is>
      </c>
    </row>
    <row r="445">
      <c r="A445" s="0" t="inlineStr">
        <is>
          <t>OSC24M频率B: 10503.700 Hz, 周期: 95.205 us</t>
        </is>
      </c>
    </row>
    <row r="446">
      <c r="A446" s="0" t="inlineStr">
        <is>
          <t>OSC24M修调码计算结果: 45.67, 四舍五入取整: 46, 搜索范围: 42 ~ 51</t>
        </is>
      </c>
    </row>
    <row r="447">
      <c r="A447" s="0" t="inlineStr">
        <is>
          <t>📝 原始测量值(CH1): 频率=11255.100 Hz, 占空比=49.720 %, 周期=88.848 us</t>
        </is>
      </c>
    </row>
    <row r="448">
      <c r="A448" s="0" t="inlineStr">
        <is>
          <t>测试修调码 42: 频率=11255.100 Hz, 周期=88.848 us, 与目标周期误差=4.013 us</t>
        </is>
      </c>
    </row>
    <row r="449">
      <c r="A449" s="0" t="inlineStr">
        <is>
          <t>📝 原始测量值(CH1): 频率=11339.400 Hz, 占空比=49.711 %, 周期=88.188 us</t>
        </is>
      </c>
    </row>
    <row r="450">
      <c r="A450" s="0" t="inlineStr">
        <is>
          <t>测试修调码 43: 频率=11339.400 Hz, 周期=88.188 us, 与目标周期误差=3.352 us</t>
        </is>
      </c>
    </row>
    <row r="451">
      <c r="A451" s="0" t="inlineStr">
        <is>
          <t>📝 原始测量值(CH1): 频率=11423.000 Hz, 占空比=49.722 %, 周期=87.543 us</t>
        </is>
      </c>
    </row>
    <row r="452">
      <c r="A452" s="0" t="inlineStr">
        <is>
          <t>测试修调码 44: 频率=11423.000 Hz, 周期=87.543 us, 与目标周期误差=2.707 us</t>
        </is>
      </c>
    </row>
    <row r="453">
      <c r="A453" s="0" t="inlineStr">
        <is>
          <t>📝 原始测量值(CH1): 频率=11498.000 Hz, 占空比=49.711 %, 周期=86.971 us</t>
        </is>
      </c>
    </row>
    <row r="454">
      <c r="A454" s="0" t="inlineStr">
        <is>
          <t>测试修调码 45: 频率=11498.000 Hz, 周期=86.971 us, 与目标周期误差=2.136 us</t>
        </is>
      </c>
    </row>
    <row r="455">
      <c r="A455" s="0" t="inlineStr">
        <is>
          <t>📝 原始测量值(CH1): 频率=11581.000 Hz, 占空比=49.706 %, 周期=86.349 us</t>
        </is>
      </c>
    </row>
    <row r="456">
      <c r="A456" s="0" t="inlineStr">
        <is>
          <t>测试修调码 46: 频率=11581.000 Hz, 周期=86.349 us, 与目标周期误差=1.513 us</t>
        </is>
      </c>
    </row>
    <row r="457">
      <c r="A457" s="0" t="inlineStr">
        <is>
          <t>📝 原始测量值(CH1): 频率=11657.900 Hz, 占空比=49.727 %, 周期=85.779 us</t>
        </is>
      </c>
    </row>
    <row r="458">
      <c r="A458" s="0" t="inlineStr">
        <is>
          <t>测试修调码 47: 频率=11657.900 Hz, 周期=85.779 us, 与目标周期误差=0.943 us</t>
        </is>
      </c>
    </row>
    <row r="459">
      <c r="A459" s="0" t="inlineStr">
        <is>
          <t>📝 原始测量值(CH1): 频率=11733.800 Hz, 占空比=49.721 %, 周期=85.224 us</t>
        </is>
      </c>
    </row>
    <row r="460">
      <c r="A460" s="0" t="inlineStr">
        <is>
          <t>测试修调码 48: 频率=11733.800 Hz, 周期=85.224 us, 与目标周期误差=0.389 us</t>
        </is>
      </c>
    </row>
    <row r="461">
      <c r="A461" s="0" t="inlineStr">
        <is>
          <t>📝 原始测量值(CH1): 频率=11818.900 Hz, 占空比=49.712 %, 周期=84.611 us</t>
        </is>
      </c>
    </row>
    <row r="462">
      <c r="A462" s="0" t="inlineStr">
        <is>
          <t>测试修调码 49: 频率=11818.900 Hz, 周期=84.611 us, 与目标周期误差=0.225 us</t>
        </is>
      </c>
    </row>
    <row r="463">
      <c r="A463" s="0" t="inlineStr">
        <is>
          <t>📝 原始测量值(CH1): 频率=11895.200 Hz, 占空比=49.709 %, 周期=84.067 us</t>
        </is>
      </c>
    </row>
    <row r="464">
      <c r="A464" s="0" t="inlineStr">
        <is>
          <t>测试修调码 50: 频率=11895.200 Hz, 周期=84.067 us, 与目标周期误差=0.768 us</t>
        </is>
      </c>
    </row>
    <row r="465">
      <c r="A465" s="0" t="inlineStr">
        <is>
          <t>📝 原始测量值(CH1): 频率=11971.300 Hz, 占空比=49.691 %, 周期=83.533 us</t>
        </is>
      </c>
    </row>
    <row r="466">
      <c r="A466" s="0" t="inlineStr">
        <is>
          <t>测试修调码 51: 频率=11971.300 Hz, 周期=83.533 us, 与目标周期误差=1.303 us</t>
        </is>
      </c>
    </row>
    <row r="467">
      <c r="A467" s="0" t="inlineStr">
        <is>
          <t>📝 原始测量值(CH1): 频率=11813.400 Hz, 占空比=49.736 %, 周期=84.649 us</t>
        </is>
      </c>
    </row>
    <row r="468">
      <c r="A468" s="0" t="inlineStr">
        <is>
          <t>最终OSC24M频率: 11813.400 Hz, 周期: 84.649 us</t>
        </is>
      </c>
    </row>
    <row r="469">
      <c r="A469" s="0" t="inlineStr">
        <is>
          <t>测试目标频率为type_val=11787.5 Hz, 目标周期为84.836 us</t>
        </is>
      </c>
    </row>
    <row r="470">
      <c r="A470" s="0" t="inlineStr">
        <is>
          <t>📝 原始测量值(CH1): 频率=10555.800 Hz, 占空比=49.725 %, 周期=94.734 us</t>
        </is>
      </c>
    </row>
    <row r="471">
      <c r="A471" s="0" t="inlineStr">
        <is>
          <t>OSC24M频率A: 10555.800 Hz, 周期: 94.734 us</t>
        </is>
      </c>
    </row>
    <row r="472">
      <c r="A472" s="0" t="inlineStr">
        <is>
          <t>📝 原始测量值(CH1): 频率=10642.800 Hz, 占空比=49.730 %, 周期=93.960 us</t>
        </is>
      </c>
    </row>
    <row r="473">
      <c r="A473" s="0" t="inlineStr">
        <is>
          <t>OSC24M频率B: 10642.800 Hz, 周期: 93.960 us</t>
        </is>
      </c>
    </row>
    <row r="474">
      <c r="A474" s="0" t="inlineStr">
        <is>
          <t>OSC24M修调码计算结果: 44.78, 四舍五入取整: 45, 搜索范围: 41 ~ 50</t>
        </is>
      </c>
    </row>
    <row r="475">
      <c r="A475" s="0" t="inlineStr">
        <is>
          <t>📝 原始测量值(CH1): 频率=11337.900 Hz, 占空比=49.713 %, 周期=88.200 us</t>
        </is>
      </c>
    </row>
    <row r="476">
      <c r="A476" s="0" t="inlineStr">
        <is>
          <t>测试修调码 41: 频率=11337.900 Hz, 周期=88.200 us, 与目标周期误差=3.364 us</t>
        </is>
      </c>
    </row>
    <row r="477">
      <c r="A477" s="0" t="inlineStr">
        <is>
          <t>📝 原始测量值(CH1): 频率=11426.000 Hz, 占空比=49.718 %, 周期=87.520 us</t>
        </is>
      </c>
    </row>
    <row r="478">
      <c r="A478" s="0" t="inlineStr">
        <is>
          <t>测试修调码 42: 频率=11426.000 Hz, 周期=87.520 us, 与目标周期误差=2.684 us</t>
        </is>
      </c>
    </row>
    <row r="479">
      <c r="A479" s="0" t="inlineStr">
        <is>
          <t>📝 原始测量值(CH1): 频率=11506.500 Hz, 占空比=49.717 %, 周期=86.908 us</t>
        </is>
      </c>
    </row>
    <row r="480">
      <c r="A480" s="0" t="inlineStr">
        <is>
          <t>测试修调码 43: 频率=11506.500 Hz, 周期=86.908 us, 与目标周期误差=2.072 us</t>
        </is>
      </c>
    </row>
    <row r="481">
      <c r="A481" s="0" t="inlineStr">
        <is>
          <t>📝 原始测量值(CH1): 频率=11601.100 Hz, 占空比=49.707 %, 周期=86.199 us</t>
        </is>
      </c>
    </row>
    <row r="482">
      <c r="A482" s="0" t="inlineStr">
        <is>
          <t>测试修调码 44: 频率=11601.100 Hz, 周期=86.199 us, 与目标周期误差=1.363 us</t>
        </is>
      </c>
    </row>
    <row r="483">
      <c r="A483" s="0" t="inlineStr">
        <is>
          <t>📝 原始测量值(CH1): 频率=11669.500 Hz, 占空比=49.736 %, 周期=85.693 us</t>
        </is>
      </c>
    </row>
    <row r="484">
      <c r="A484" s="0" t="inlineStr">
        <is>
          <t>测试修调码 45: 频率=11669.500 Hz, 周期=85.693 us, 与目标周期误差=0.858 us</t>
        </is>
      </c>
    </row>
    <row r="485">
      <c r="A485" s="0" t="inlineStr">
        <is>
          <t>📝 原始测量值(CH1): 频率=11755.500 Hz, 占空比=49.709 %, 周期=85.067 us</t>
        </is>
      </c>
    </row>
    <row r="486">
      <c r="A486" s="0" t="inlineStr">
        <is>
          <t>测试修调码 46: 频率=11755.500 Hz, 周期=85.067 us, 与目标周期误差=0.231 us</t>
        </is>
      </c>
    </row>
    <row r="487">
      <c r="A487" s="0" t="inlineStr">
        <is>
          <t>📝 原始测量值(CH1): 频率=11831.500 Hz, 占空比=49.713 %, 周期=84.520 us</t>
        </is>
      </c>
    </row>
    <row r="488">
      <c r="A488" s="0" t="inlineStr">
        <is>
          <t>测试修调码 47: 频率=11831.500 Hz, 周期=84.520 us, 与目标周期误差=0.316 us</t>
        </is>
      </c>
    </row>
    <row r="489">
      <c r="A489" s="0" t="inlineStr">
        <is>
          <t>📝 原始测量值(CH1): 频率=11915.800 Hz, 占空比=49.704 %, 周期=83.922 us</t>
        </is>
      </c>
    </row>
    <row r="490">
      <c r="A490" s="0" t="inlineStr">
        <is>
          <t>测试修调码 48: 频率=11915.800 Hz, 周期=83.922 us, 与目标周期误差=0.914 us</t>
        </is>
      </c>
    </row>
    <row r="491">
      <c r="A491" s="0" t="inlineStr">
        <is>
          <t>📝 原始测量值(CH1): 频率=11999.800 Hz, 占空比=49.717 %, 周期=83.335 us</t>
        </is>
      </c>
    </row>
    <row r="492">
      <c r="A492" s="0" t="inlineStr">
        <is>
          <t>测试修调码 49: 频率=11999.800 Hz, 周期=83.335 us, 与目标周期误差=1.501 us</t>
        </is>
      </c>
    </row>
    <row r="493">
      <c r="A493" s="0" t="inlineStr">
        <is>
          <t>📝 原始测量值(CH1): 频率=12085.100 Hz, 占空比=49.678 %, 周期=82.747 us</t>
        </is>
      </c>
    </row>
    <row r="494">
      <c r="A494" s="0" t="inlineStr">
        <is>
          <t>测试修调码 50: 频率=12085.100 Hz, 周期=82.747 us, 与目标周期误差=2.089 us</t>
        </is>
      </c>
    </row>
    <row r="495">
      <c r="A495" s="0" t="inlineStr">
        <is>
          <t>📝 原始测量值(CH1): 频率=11758.300 Hz, 占空比=49.706 %, 周期=85.046 us</t>
        </is>
      </c>
    </row>
    <row r="496">
      <c r="A496" s="0" t="inlineStr">
        <is>
          <t>最终OSC24M频率: 11758.300 Hz, 周期: 85.046 us</t>
        </is>
      </c>
    </row>
  </sheetData>
  <mergeCells count="1">
    <mergeCell ref="A1:XF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FD57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  <row r="2">
      <c r="A2" s="0" t="inlineStr">
        <is>
          <t>请将示波器的CH1探头接入P13引脚, 按下enter键继续...</t>
        </is>
      </c>
    </row>
    <row r="3">
      <c r="A3" s="0" t="inlineStr">
        <is>
          <t>测试目标频率为type_val=32768.0 Hz, 目标周期为30.518 us</t>
        </is>
      </c>
    </row>
    <row r="4">
      <c r="A4" s="0" t="inlineStr">
        <is>
          <t>📝 原始测量值(CH1): 频率=32336.900 Hz, 占空比=50.415 %, 周期=30.924 us</t>
        </is>
      </c>
    </row>
    <row r="5">
      <c r="A5" s="0" t="inlineStr">
        <is>
          <t>OSC33K频率A: 32336.900 Hz, 周期: 30.924 us</t>
        </is>
      </c>
    </row>
    <row r="6">
      <c r="A6" s="0" t="inlineStr">
        <is>
          <t>📝 原始测量值(CH1): 频率=32161.200 Hz, 占空比=50.389 %, 周期=31.093 us</t>
        </is>
      </c>
    </row>
    <row r="7">
      <c r="A7" s="0" t="inlineStr">
        <is>
          <t>OSC33K频率B: 32161.200 Hz, 周期: 31.093 us</t>
        </is>
      </c>
    </row>
    <row r="8">
      <c r="A8" s="0" t="inlineStr">
        <is>
          <t>OSC33K修调码计算结果: 61.59, 四舍五入取整: 62, 搜索范围: 58 ~ 67</t>
        </is>
      </c>
    </row>
    <row r="9">
      <c r="A9" s="0" t="inlineStr">
        <is>
          <t>📝 原始测量值(CH1): 频率=33046.900 Hz, 占空比=50.432 %, 周期=30.260 us</t>
        </is>
      </c>
    </row>
    <row r="10">
      <c r="A10" s="0" t="inlineStr">
        <is>
          <t>测试修调码 58: 频率=33046.900 Hz, 周期=30.260 us, 与目标周期误差=0.258 us</t>
        </is>
      </c>
    </row>
    <row r="11">
      <c r="A11" s="0" t="inlineStr">
        <is>
          <t>📝 原始测量值(CH1): 频率=32856.900 Hz, 占空比=50.411 %, 周期=30.435 us</t>
        </is>
      </c>
    </row>
    <row r="12">
      <c r="A12" s="0" t="inlineStr">
        <is>
          <t>测试修调码 59: 频率=32856.900 Hz, 周期=30.435 us, 与目标周期误差=0.083 us</t>
        </is>
      </c>
    </row>
    <row r="13">
      <c r="A13" s="0" t="inlineStr">
        <is>
          <t>📝 原始测量值(CH1): 频率=32637.100 Hz, 占空比=50.400 %, 周期=30.640 us</t>
        </is>
      </c>
    </row>
    <row r="14">
      <c r="A14" s="0" t="inlineStr">
        <is>
          <t>测试修调码 60: 频率=32637.100 Hz, 周期=30.640 us, 与目标周期误差=0.122 us</t>
        </is>
      </c>
    </row>
    <row r="15">
      <c r="A15" s="0" t="inlineStr">
        <is>
          <t>📝 原始测量值(CH1): 频率=32448.800 Hz, 占空比=50.396 %, 周期=30.818 us</t>
        </is>
      </c>
    </row>
    <row r="16">
      <c r="A16" s="0" t="inlineStr">
        <is>
          <t>测试修调码 61: 频率=32448.800 Hz, 周期=30.818 us, 与目标周期误差=0.300 us</t>
        </is>
      </c>
    </row>
    <row r="17">
      <c r="A17" s="0" t="inlineStr">
        <is>
          <t>📝 原始测量值(CH1): 频率=32272.500 Hz, 占空比=50.412 %, 周期=30.986 us</t>
        </is>
      </c>
    </row>
    <row r="18">
      <c r="A18" s="0" t="inlineStr">
        <is>
          <t>测试修调码 62: 频率=32272.500 Hz, 周期=30.986 us, 与目标周期误差=0.469 us</t>
        </is>
      </c>
    </row>
    <row r="19">
      <c r="A19" s="0" t="inlineStr">
        <is>
          <t>📝 原始测量值(CH1): 频率=32087.800 Hz, 占空比=50.374 %, 周期=31.164 us</t>
        </is>
      </c>
    </row>
    <row r="20">
      <c r="A20" s="0" t="inlineStr">
        <is>
          <t>测试修调码 63: 频率=32087.800 Hz, 周期=31.164 us, 与目标周期误差=0.647 us</t>
        </is>
      </c>
    </row>
    <row r="21">
      <c r="A21" s="0" t="inlineStr">
        <is>
          <t>📝 原始测量值(CH1): 频率=32355.500 Hz, 占空比=50.399 %, 周期=30.907 us</t>
        </is>
      </c>
    </row>
    <row r="22">
      <c r="A22" s="0" t="inlineStr">
        <is>
          <t>测试修调码 64: 频率=32355.500 Hz, 周期=30.907 us, 与目标周期误差=0.389 us</t>
        </is>
      </c>
    </row>
    <row r="23">
      <c r="A23" s="0" t="inlineStr">
        <is>
          <t>📝 原始测量值(CH1): 频率=32152.600 Hz, 占空比=50.429 %, 周期=31.102 us</t>
        </is>
      </c>
    </row>
    <row r="24">
      <c r="A24" s="0" t="inlineStr">
        <is>
          <t>测试修调码 65: 频率=32152.600 Hz, 周期=31.102 us, 与目标周期误差=0.584 us</t>
        </is>
      </c>
    </row>
    <row r="25">
      <c r="A25" s="0" t="inlineStr">
        <is>
          <t>📝 原始测量值(CH1): 频率=31968.600 Hz, 占空比=50.430 %, 周期=31.281 us</t>
        </is>
      </c>
    </row>
    <row r="26">
      <c r="A26" s="0" t="inlineStr">
        <is>
          <t>测试修调码 66: 频率=31968.600 Hz, 周期=31.281 us, 与目标周期误差=0.763 us</t>
        </is>
      </c>
    </row>
    <row r="27">
      <c r="A27" s="0" t="inlineStr">
        <is>
          <t>📝 原始测量值(CH1): 频率=31801.700 Hz, 占空比=50.395 %, 周期=31.445 us</t>
        </is>
      </c>
    </row>
    <row r="28">
      <c r="A28" s="0" t="inlineStr">
        <is>
          <t>测试修调码 67: 频率=31801.700 Hz, 周期=31.445 us, 与目标周期误差=0.927 us</t>
        </is>
      </c>
    </row>
    <row r="29">
      <c r="A29" s="0" t="inlineStr">
        <is>
          <t>📝 原始测量值(CH1): 频率=32862.300 Hz, 占空比=50.452 %, 周期=30.430 us</t>
        </is>
      </c>
    </row>
    <row r="30">
      <c r="A30" s="0" t="inlineStr">
        <is>
          <t>最终OSC33K频率: 32862.300 Hz, 周期: 30.430 us</t>
        </is>
      </c>
    </row>
    <row r="31">
      <c r="A31" s="0" t="inlineStr">
        <is>
          <t>测试目标频率为type_val=32768.0 Hz, 目标周期为30.518 us</t>
        </is>
      </c>
    </row>
    <row r="32">
      <c r="A32" s="0" t="inlineStr">
        <is>
          <t>📝 原始测量值(CH1): 频率=30940.600 Hz, 占空比=46.782 %, 周期=32.320 us</t>
        </is>
      </c>
    </row>
    <row r="33">
      <c r="A33" s="0" t="inlineStr">
        <is>
          <t>OSC33K频率A: 30940.600 Hz, 周期: 32.320 us</t>
        </is>
      </c>
    </row>
    <row r="34">
      <c r="A34" s="0" t="inlineStr">
        <is>
          <t>📝 原始测量值(CH1): 频率=32023.900 Hz, 占空比=47.203 %, 周期=31.227 us</t>
        </is>
      </c>
    </row>
    <row r="35">
      <c r="A35" s="0" t="inlineStr">
        <is>
          <t>OSC33K频率B: 32023.900 Hz, 周期: 31.227 us</t>
        </is>
      </c>
    </row>
    <row r="36">
      <c r="A36" s="0" t="inlineStr">
        <is>
          <t>OSC33K修调码计算结果: 65.65, 四舍五入取整: 66, 搜索范围: 62 ~ 71</t>
        </is>
      </c>
    </row>
    <row r="37">
      <c r="A37" s="0" t="inlineStr">
        <is>
          <t>📝 原始测量值(CH1): 频率=31230.500 Hz, 占空比=48.032 %, 周期=32.020 us</t>
        </is>
      </c>
    </row>
    <row r="38">
      <c r="A38" s="0" t="inlineStr">
        <is>
          <t>测试修调码 62: 频率=31230.500 Hz, 周期=32.020 us, 与目标周期误差=1.502 us</t>
        </is>
      </c>
    </row>
    <row r="39">
      <c r="A39" s="0" t="inlineStr">
        <is>
          <t>📝 原始测量值(CH1): 频率=30432.100 Hz, 占空比=47.961 %, 周期=32.860 us</t>
        </is>
      </c>
    </row>
    <row r="40">
      <c r="A40" s="0" t="inlineStr">
        <is>
          <t>测试修调码 63: 频率=30432.100 Hz, 周期=32.860 us, 与目标周期误差=2.342 us</t>
        </is>
      </c>
    </row>
    <row r="41">
      <c r="A41" s="0" t="inlineStr">
        <is>
          <t>📝 原始测量值(CH1): 频率=31354.500 Hz, 占空比=45.903 %, 周期=31.893 us</t>
        </is>
      </c>
    </row>
    <row r="42">
      <c r="A42" s="0" t="inlineStr">
        <is>
          <t>测试修调码 64: 频率=31354.500 Hz, 周期=31.893 us, 与目标周期误差=1.376 us</t>
        </is>
      </c>
    </row>
    <row r="43">
      <c r="A43" s="0" t="inlineStr">
        <is>
          <t>📝 原始测量值(CH1): 频率=30693.700 Hz, 占空比=48.864 %, 周期=32.640 us</t>
        </is>
      </c>
    </row>
    <row r="44">
      <c r="A44" s="0" t="inlineStr">
        <is>
          <t>测试修调码 65: 频率=30693.700 Hz, 周期=32.640 us, 与目标周期误差=2.122 us</t>
        </is>
      </c>
    </row>
    <row r="45">
      <c r="A45" s="0" t="inlineStr">
        <is>
          <t>📝 原始测量值(CH1): 频率=30966.100 Hz, 占空比=46.078 %, 周期=32.293 us</t>
        </is>
      </c>
    </row>
    <row r="46">
      <c r="A46" s="0" t="inlineStr">
        <is>
          <t>测试修调码 66: 频率=30966.100 Hz, 周期=32.293 us, 与目标周期误差=1.776 us</t>
        </is>
      </c>
    </row>
    <row r="47">
      <c r="A47" s="0" t="inlineStr">
        <is>
          <t>📝 原始测量值(CH1): 频率=30940.600 Hz, 占空比=51.465 %, 周期=32.320 us</t>
        </is>
      </c>
    </row>
    <row r="48">
      <c r="A48" s="0" t="inlineStr">
        <is>
          <t>测试修调码 67: 频率=30940.600 Hz, 周期=32.320 us, 与目标周期误差=1.802 us</t>
        </is>
      </c>
    </row>
    <row r="49">
      <c r="A49" s="0" t="inlineStr">
        <is>
          <t>📝 原始测量值(CH1): 频率=59241.700 Hz, 占空比=7.109 %, 周期=16.880 us</t>
        </is>
      </c>
    </row>
    <row r="50">
      <c r="A50" s="0" t="inlineStr">
        <is>
          <t>测试修调码 68: 频率=59241.700 Hz, 周期=16.880 us, 与目标周期误差=13.638 us</t>
        </is>
      </c>
    </row>
    <row r="51">
      <c r="A51" s="0" t="inlineStr">
        <is>
          <t>📝 原始测量值(CH1): 频率=30063.100 Hz, 占空比=49.464 %, 周期=33.263 us</t>
        </is>
      </c>
    </row>
    <row r="52">
      <c r="A52" s="0" t="inlineStr">
        <is>
          <t>测试修调码 69: 频率=30063.100 Hz, 周期=33.263 us, 与目标周期误差=2.746 us</t>
        </is>
      </c>
    </row>
    <row r="53">
      <c r="A53" s="0" t="inlineStr">
        <is>
          <t>📝 原始测量值(CH1): 频率=30266.300 Hz, 占空比=49.879 %, 周期=33.040 us</t>
        </is>
      </c>
    </row>
    <row r="54">
      <c r="A54" s="0" t="inlineStr">
        <is>
          <t>测试修调码 70: 频率=30266.300 Hz, 周期=33.040 us, 与目标周期误差=2.522 us</t>
        </is>
      </c>
    </row>
    <row r="55">
      <c r="A55" s="0" t="inlineStr">
        <is>
          <t>📝 原始测量值(CH1): 频率=30494.000 Hz, 占空比=49.014 %, 周期=32.793 us</t>
        </is>
      </c>
    </row>
    <row r="56">
      <c r="A56" s="0" t="inlineStr">
        <is>
          <t>测试修调码 71: 频率=30494.000 Hz, 周期=32.793 us, 与目标周期误差=2.276 us</t>
        </is>
      </c>
    </row>
    <row r="57">
      <c r="A57" s="0" t="inlineStr">
        <is>
          <t>📝 原始测量值(CH1): 频率=31172.100 Hz, 占空比=47.382 %, 周期=32.080 us</t>
        </is>
      </c>
    </row>
    <row r="58">
      <c r="A58" s="0" t="inlineStr">
        <is>
          <t>最终OSC33K频率: 31172.100 Hz, 周期: 32.080 us</t>
        </is>
      </c>
    </row>
    <row r="59">
      <c r="A59" s="0" t="inlineStr">
        <is>
          <t>测试目标频率为type_val=32768.0 Hz, 目标周期为30.518 us</t>
        </is>
      </c>
    </row>
    <row r="60">
      <c r="A60" s="0" t="inlineStr">
        <is>
          <t>📝 原始测量值(CH1): 频率=31094.500 Hz, 占空比=47.015 %, 周期=32.160 us</t>
        </is>
      </c>
    </row>
    <row r="61">
      <c r="A61" s="0" t="inlineStr">
        <is>
          <t>OSC33K频率A: 31094.500 Hz, 周期: 32.160 us</t>
        </is>
      </c>
    </row>
    <row r="62">
      <c r="A62" s="0" t="inlineStr">
        <is>
          <t>📝 原始测量值(CH1): 频率=31017.400 Hz, 占空比=49.380 %, 周期=32.240 us</t>
        </is>
      </c>
    </row>
    <row r="63">
      <c r="A63" s="0" t="inlineStr">
        <is>
          <t>OSC33K频率B: 31017.400 Hz, 周期: 32.240 us</t>
        </is>
      </c>
    </row>
    <row r="64">
      <c r="A64" s="0" t="inlineStr">
        <is>
          <t>OSC33K修调码计算结果: 43.47, 四舍五入取整: 43, 搜索范围: 39 ~ 48</t>
        </is>
      </c>
    </row>
    <row r="65">
      <c r="A65" s="0" t="inlineStr">
        <is>
          <t>📝 原始测量值(CH1): 频率=36549.700 Hz, 占空比=45.687 %, 周期=27.360 us</t>
        </is>
      </c>
    </row>
    <row r="66">
      <c r="A66" s="0" t="inlineStr">
        <is>
          <t>测试修调码 39: 频率=36549.700 Hz, 周期=27.360 us, 与目标周期误差=3.158 us</t>
        </is>
      </c>
    </row>
    <row r="67">
      <c r="A67" s="0" t="inlineStr">
        <is>
          <t>📝 原始测量值(CH1): 频率=36656.900 Hz, 占空比=48.094 %, 周期=27.280 us</t>
        </is>
      </c>
    </row>
    <row r="68">
      <c r="A68" s="0" t="inlineStr">
        <is>
          <t>测试修调码 40: 频率=36656.900 Hz, 周期=27.280 us, 与目标周期误差=3.238 us</t>
        </is>
      </c>
    </row>
    <row r="69">
      <c r="A69" s="0" t="inlineStr">
        <is>
          <t>📝 原始测量值(CH1): 频率=35511.400 Hz, 占空比=46.591 %, 周期=28.160 us</t>
        </is>
      </c>
    </row>
    <row r="70">
      <c r="A70" s="0" t="inlineStr">
        <is>
          <t>测试修调码 41: 频率=35511.400 Hz, 周期=28.160 us, 与目标周期误差=2.358 us</t>
        </is>
      </c>
    </row>
    <row r="71">
      <c r="A71" s="0" t="inlineStr">
        <is>
          <t>📝 原始测量值(CH1): 频率=36231.900 Hz, 占空比=48.696 %, 周期=27.600 us</t>
        </is>
      </c>
    </row>
    <row r="72">
      <c r="A72" s="0" t="inlineStr">
        <is>
          <t>测试修调码 42: 频率=36231.900 Hz, 周期=27.600 us, 与目标周期误差=2.918 us</t>
        </is>
      </c>
    </row>
    <row r="73">
      <c r="A73" s="0" t="inlineStr">
        <is>
          <t>📝 原始测量值(CH1): 频率=35561.900 Hz, 占空比=47.084 %, 周期=28.120 us</t>
        </is>
      </c>
    </row>
    <row r="74">
      <c r="A74" s="0" t="inlineStr">
        <is>
          <t>测试修调码 43: 频率=35561.900 Hz, 周期=28.120 us, 与目标周期误差=2.398 us</t>
        </is>
      </c>
    </row>
    <row r="75">
      <c r="A75" s="0" t="inlineStr">
        <is>
          <t>📝 原始测量值(CH1): 频率=35014.000 Hz, 占空比=47.339 %, 周期=28.560 us</t>
        </is>
      </c>
    </row>
    <row r="76">
      <c r="A76" s="0" t="inlineStr">
        <is>
          <t>测试修调码 44: 频率=35014.000 Hz, 周期=28.560 us, 与目标周期误差=1.958 us</t>
        </is>
      </c>
    </row>
    <row r="77">
      <c r="A77" s="0" t="inlineStr">
        <is>
          <t>📝 原始测量值(CH1): 频率=35410.800 Hz, 占空比=49.008 %, 周期=28.240 us</t>
        </is>
      </c>
    </row>
    <row r="78">
      <c r="A78" s="0" t="inlineStr">
        <is>
          <t>测试修调码 45: 频率=35410.800 Hz, 周期=28.240 us, 与目标周期误差=2.278 us</t>
        </is>
      </c>
    </row>
    <row r="79">
      <c r="A79" s="0" t="inlineStr">
        <is>
          <t>📝 原始测量值(CH1): 频率=35112.400 Hz, 占空比=50.843 %, 周期=28.480 us</t>
        </is>
      </c>
    </row>
    <row r="80">
      <c r="A80" s="0" t="inlineStr">
        <is>
          <t>测试修调码 46: 频率=35112.400 Hz, 周期=28.480 us, 与目标周期误差=2.038 us</t>
        </is>
      </c>
    </row>
    <row r="81">
      <c r="A81" s="0" t="inlineStr">
        <is>
          <t>📝 原始测量值(CH1): 频率=34818.900 Hz, 占空比=49.025 %, 周期=28.720 us</t>
        </is>
      </c>
    </row>
    <row r="82">
      <c r="A82" s="0" t="inlineStr">
        <is>
          <t>测试修调码 47: 频率=34818.900 Hz, 周期=28.720 us, 与目标周期误差=1.798 us</t>
        </is>
      </c>
    </row>
    <row r="83">
      <c r="A83" s="0" t="inlineStr">
        <is>
          <t>📝 原始测量值(CH1): 频率=33602.200 Hz, 占空比=48.118 %, 周期=29.760 us</t>
        </is>
      </c>
    </row>
    <row r="84">
      <c r="A84" s="0" t="inlineStr">
        <is>
          <t>测试修调码 48: 频率=33602.200 Hz, 周期=29.760 us, 与目标周期误差=0.758 us</t>
        </is>
      </c>
    </row>
    <row r="85">
      <c r="A85" s="0" t="inlineStr">
        <is>
          <t>📝 原始测量值(CH1): 频率=34059.900 Hz, 占空比=48.774 %, 周期=29.360 us</t>
        </is>
      </c>
    </row>
    <row r="86">
      <c r="A86" s="0" t="inlineStr">
        <is>
          <t>最终OSC33K频率: 34059.900 Hz, 周期: 29.360 us</t>
        </is>
      </c>
    </row>
    <row r="87">
      <c r="A87" s="0" t="inlineStr">
        <is>
          <t>测试目标频率为type_val=32768.0 Hz, 目标周期为30.518 us</t>
        </is>
      </c>
    </row>
    <row r="88">
      <c r="A88" s="0" t="inlineStr">
        <is>
          <t>📝 原始测量值(CH1): 频率=48151.000 Hz, 占空比=87.673 %, 周期=20.768 us</t>
        </is>
      </c>
    </row>
    <row r="89">
      <c r="A89" s="0" t="inlineStr">
        <is>
          <t>OSC33K频率A: 48151.000 Hz, 周期: 20.768 us</t>
        </is>
      </c>
    </row>
    <row r="90">
      <c r="A90" s="0" t="inlineStr">
        <is>
          <t>📝 原始测量值(CH1): 频率=56003.600 Hz, 占空比=9.498 %, 周期=17.856 us</t>
        </is>
      </c>
    </row>
    <row r="91">
      <c r="A91" s="0" t="inlineStr">
        <is>
          <t>OSC33K频率B: 56003.600 Hz, 周期: 17.856 us</t>
        </is>
      </c>
    </row>
    <row r="92">
      <c r="A92" s="0" t="inlineStr">
        <is>
          <t>OSC33K修调码计算结果: 60.65, 四舍五入取整: 61, 搜索范围: 57 ~ 66</t>
        </is>
      </c>
    </row>
    <row r="93">
      <c r="A93" s="0" t="inlineStr">
        <is>
          <t>📝 原始测量值(CH1): 频率=49135.200 Hz, 占空比=83.648 %, 周期=20.352 us</t>
        </is>
      </c>
    </row>
    <row r="94">
      <c r="A94" s="0" t="inlineStr">
        <is>
          <t>测试修调码 57: 频率=49135.200 Hz, 周期=20.352 us, 与目标周期误差=10.166 us</t>
        </is>
      </c>
    </row>
    <row r="95">
      <c r="A95" s="0" t="inlineStr">
        <is>
          <t>📝 原始测量值(CH1): 频率=59980.800 Hz, 占空比=20.921 %, 周期=16.672 us</t>
        </is>
      </c>
    </row>
    <row r="96">
      <c r="A96" s="0" t="inlineStr">
        <is>
          <t>测试修调码 58: 频率=59980.800 Hz, 周期=16.672 us, 与目标周期误差=13.846 us</t>
        </is>
      </c>
    </row>
    <row r="97">
      <c r="A97" s="0" t="inlineStr">
        <is>
          <t>📝 原始测量值(CH1): 频率=31985.700 Hz, 占空比=53.531 %, 周期=31.264 us</t>
        </is>
      </c>
    </row>
    <row r="98">
      <c r="A98" s="0" t="inlineStr">
        <is>
          <t>测试修调码 59: 频率=31985.700 Hz, 周期=31.264 us, 与目标周期误差=0.746 us</t>
        </is>
      </c>
    </row>
    <row r="99">
      <c r="A99" s="0" t="inlineStr">
        <is>
          <t>📝 原始测量值(CH1): 频率=55605.000 Hz, 占空比=18.861 %, 周期=17.984 us</t>
        </is>
      </c>
    </row>
    <row r="100">
      <c r="A100" s="0" t="inlineStr">
        <is>
          <t>测试修调码 60: 频率=55605.000 Hz, 周期=17.984 us, 与目标周期误差=12.534 us</t>
        </is>
      </c>
    </row>
    <row r="101">
      <c r="A101" s="0" t="inlineStr">
        <is>
          <t>📝 原始测量值(CH1): 频率=60328.200 Hz, 占空比=87.403 %, 周期=16.576 us</t>
        </is>
      </c>
    </row>
    <row r="102">
      <c r="A102" s="0" t="inlineStr">
        <is>
          <t>测试修调码 61: 频率=60328.200 Hz, 周期=16.576 us, 与目标周期误差=13.942 us</t>
        </is>
      </c>
    </row>
    <row r="103">
      <c r="A103" s="0" t="inlineStr">
        <is>
          <t>📝 原始测量值(CH1): 频率=32076.000 Hz, 占空比=97.126 %, 周期=31.176 us</t>
        </is>
      </c>
    </row>
    <row r="104">
      <c r="A104" s="0" t="inlineStr">
        <is>
          <t>测试修调码 62: 频率=32076.000 Hz, 周期=31.176 us, 与目标周期误差=0.658 us</t>
        </is>
      </c>
    </row>
    <row r="105">
      <c r="A105" s="0" t="inlineStr">
        <is>
          <t>📝 原始测量值(CH1): 频率=57870.400 Hz, 占空比=16.111 %, 周期=17.280 us</t>
        </is>
      </c>
    </row>
    <row r="106">
      <c r="A106" s="0" t="inlineStr">
        <is>
          <t>测试修调码 63: 频率=57870.400 Hz, 周期=17.280 us, 与目标周期误差=13.238 us</t>
        </is>
      </c>
    </row>
    <row r="107">
      <c r="A107" s="0" t="inlineStr">
        <is>
          <t>📝 原始测量值(CH1): 频率=55334.200 Hz, 占空比=8.101 %, 周期=18.072 us</t>
        </is>
      </c>
    </row>
    <row r="108">
      <c r="A108" s="0" t="inlineStr">
        <is>
          <t>测试修调码 64: 频率=55334.200 Hz, 周期=18.072 us, 与目标周期误差=12.446 us</t>
        </is>
      </c>
    </row>
    <row r="109">
      <c r="A109" s="0" t="inlineStr">
        <is>
          <t>📝 原始测量值(CH1): 频率=47709.900 Hz, 占空比=84.733 %, 周期=20.960 us</t>
        </is>
      </c>
    </row>
    <row r="110">
      <c r="A110" s="0" t="inlineStr">
        <is>
          <t>测试修调码 65: 频率=47709.900 Hz, 周期=20.960 us, 与目标周期误差=9.558 us</t>
        </is>
      </c>
    </row>
    <row r="111">
      <c r="A111" s="0" t="inlineStr">
        <is>
          <t>📝 原始测量值(CH1): 频率=55432.400 Hz, 占空比=9.180 %, 周期=18.040 us</t>
        </is>
      </c>
    </row>
    <row r="112">
      <c r="A112" s="0" t="inlineStr">
        <is>
          <t>测试修调码 66: 频率=55432.400 Hz, 周期=18.040 us, 与目标周期误差=12.478 us</t>
        </is>
      </c>
    </row>
    <row r="113">
      <c r="A113" s="0" t="inlineStr">
        <is>
          <t>📝 原始测量值(CH1): 频率=49524.600 Hz, 占空比=88.273 %, 周期=20.192 us</t>
        </is>
      </c>
    </row>
    <row r="114">
      <c r="A114" s="0" t="inlineStr">
        <is>
          <t>最终OSC33K频率: 49524.600 Hz, 周期: 20.192 us</t>
        </is>
      </c>
    </row>
    <row r="115">
      <c r="A115" s="0" t="inlineStr">
        <is>
          <t>测试目标频率为type_val=32768.0 Hz, 目标周期为30.518 us</t>
        </is>
      </c>
    </row>
    <row r="116">
      <c r="A116" s="0" t="inlineStr">
        <is>
          <t>📝 原始测量值(CH1): 频率=31281.300 Hz, 占空比=49.777 %, 周期=31.968 us</t>
        </is>
      </c>
    </row>
    <row r="117">
      <c r="A117" s="0" t="inlineStr">
        <is>
          <t>OSC33K频率A: 31281.300 Hz, 周期: 31.968 us</t>
        </is>
      </c>
    </row>
    <row r="118">
      <c r="A118" s="0" t="inlineStr">
        <is>
          <t>📝 原始测量值(CH1): 频率=31118.900 Hz, 占空比=49.799 %, 周期=32.135 us</t>
        </is>
      </c>
    </row>
    <row r="119">
      <c r="A119" s="0" t="inlineStr">
        <is>
          <t>OSC33K频率B: 31118.900 Hz, 周期: 32.135 us</t>
        </is>
      </c>
    </row>
    <row r="120">
      <c r="A120" s="0" t="inlineStr">
        <is>
          <t>OSC33K修调码计算结果: 55.31, 四舍五入取整: 55, 搜索范围: 51 ~ 60</t>
        </is>
      </c>
    </row>
    <row r="121">
      <c r="A121" s="0" t="inlineStr">
        <is>
          <t>📝 原始测量值(CH1): 频率=33364.000 Hz, 占空比=49.758 %, 周期=29.972 us</t>
        </is>
      </c>
    </row>
    <row r="122">
      <c r="A122" s="0" t="inlineStr">
        <is>
          <t>测试修调码 51: 频率=33364.000 Hz, 周期=29.972 us, 与目标周期误差=0.545 us</t>
        </is>
      </c>
    </row>
    <row r="123">
      <c r="A123" s="0" t="inlineStr">
        <is>
          <t>📝 原始测量值(CH1): 频率=33149.200 Hz, 占空比=49.812 %, 周期=30.167 us</t>
        </is>
      </c>
    </row>
    <row r="124">
      <c r="A124" s="0" t="inlineStr">
        <is>
          <t>测试修调码 52: 频率=33149.200 Hz, 周期=30.167 us, 与目标周期误差=0.351 us</t>
        </is>
      </c>
    </row>
    <row r="125">
      <c r="A125" s="0" t="inlineStr">
        <is>
          <t>📝 原始测量值(CH1): 频率=32938.100 Hz, 占空比=49.758 %, 周期=30.360 us</t>
        </is>
      </c>
    </row>
    <row r="126">
      <c r="A126" s="0" t="inlineStr">
        <is>
          <t>测试修调码 53: 频率=32938.100 Hz, 周期=30.360 us, 与目标周期误差=0.158 us</t>
        </is>
      </c>
    </row>
    <row r="127">
      <c r="A127" s="0" t="inlineStr">
        <is>
          <t>📝 原始测量值(CH1): 频率=32738.200 Hz, 占空比=49.775 %, 周期=30.545 us</t>
        </is>
      </c>
    </row>
    <row r="128">
      <c r="A128" s="0" t="inlineStr">
        <is>
          <t>测试修调码 54: 频率=32738.200 Hz, 周期=30.545 us, 与目标周期误差=0.028 us</t>
        </is>
      </c>
    </row>
    <row r="129">
      <c r="A129" s="0" t="inlineStr">
        <is>
          <t>📝 原始测量值(CH1): 频率=32566.200 Hz, 占空比=49.815 %, 周期=30.707 us</t>
        </is>
      </c>
    </row>
    <row r="130">
      <c r="A130" s="0" t="inlineStr">
        <is>
          <t>测试修调码 55: 频率=32566.200 Hz, 周期=30.707 us, 与目标周期误差=0.189 us</t>
        </is>
      </c>
    </row>
    <row r="131">
      <c r="A131" s="0" t="inlineStr">
        <is>
          <t>📝 原始测量值(CH1): 频率=32347.500 Hz, 占空比=49.804 %, 周期=30.914 us</t>
        </is>
      </c>
    </row>
    <row r="132">
      <c r="A132" s="0" t="inlineStr">
        <is>
          <t>测试修调码 56: 频率=32347.500 Hz, 周期=30.914 us, 与目标周期误差=0.397 us</t>
        </is>
      </c>
    </row>
    <row r="133">
      <c r="A133" s="0" t="inlineStr">
        <is>
          <t>📝 原始测量值(CH1): 频率=32137.800 Hz, 占空比=49.766 %, 周期=31.116 us</t>
        </is>
      </c>
    </row>
    <row r="134">
      <c r="A134" s="0" t="inlineStr">
        <is>
          <t>测试修调码 57: 频率=32137.800 Hz, 周期=31.116 us, 与目标周期误差=0.598 us</t>
        </is>
      </c>
    </row>
    <row r="135">
      <c r="A135" s="0" t="inlineStr">
        <is>
          <t>📝 原始测量值(CH1): 频率=31938.000 Hz, 占空比=49.806 %, 周期=31.311 us</t>
        </is>
      </c>
    </row>
    <row r="136">
      <c r="A136" s="0" t="inlineStr">
        <is>
          <t>测试修调码 58: 频率=31938.000 Hz, 周期=31.311 us, 与目标周期误差=0.793 us</t>
        </is>
      </c>
    </row>
    <row r="137">
      <c r="A137" s="0" t="inlineStr">
        <is>
          <t>📝 原始测量值(CH1): 频率=31768.200 Hz, 占空比=49.781 %, 周期=31.478 us</t>
        </is>
      </c>
    </row>
    <row r="138">
      <c r="A138" s="0" t="inlineStr">
        <is>
          <t>测试修调码 59: 频率=31768.200 Hz, 周期=31.478 us, 与目标周期误差=0.960 us</t>
        </is>
      </c>
    </row>
    <row r="139">
      <c r="A139" s="0" t="inlineStr">
        <is>
          <t>📝 原始测量值(CH1): 频率=31551.000 Hz, 占空比=49.780 %, 周期=31.695 us</t>
        </is>
      </c>
    </row>
    <row r="140">
      <c r="A140" s="0" t="inlineStr">
        <is>
          <t>测试修调码 60: 频率=31551.000 Hz, 周期=31.695 us, 与目标周期误差=1.177 us</t>
        </is>
      </c>
    </row>
    <row r="141">
      <c r="A141" s="0" t="inlineStr">
        <is>
          <t>📝 原始测量值(CH1): 频率=32722.500 Hz, 占空比=49.771 %, 周期=30.560 us</t>
        </is>
      </c>
    </row>
    <row r="142">
      <c r="A142" s="0" t="inlineStr">
        <is>
          <t>最终OSC33K频率: 32722.500 Hz, 周期: 30.560 us</t>
        </is>
      </c>
    </row>
    <row r="143">
      <c r="A143" s="0" t="inlineStr">
        <is>
          <t>测试目标频率为type_val=32768.0 Hz, 目标周期为30.518 us</t>
        </is>
      </c>
    </row>
    <row r="144">
      <c r="A144" s="0" t="inlineStr">
        <is>
          <t>📝 原始测量值(CH1): 频率=31301.200 Hz, 占空比=49.811 %, 周期=31.948 us</t>
        </is>
      </c>
    </row>
    <row r="145">
      <c r="A145" s="0" t="inlineStr">
        <is>
          <t>OSC33K频率A: 31301.200 Hz, 周期: 31.948 us</t>
        </is>
      </c>
    </row>
    <row r="146">
      <c r="A146" s="0" t="inlineStr">
        <is>
          <t>📝 原始测量值(CH1): 频率=31132.300 Hz, 占空比=49.810 %, 周期=32.121 us</t>
        </is>
      </c>
    </row>
    <row r="147">
      <c r="A147" s="0" t="inlineStr">
        <is>
          <t>OSC33K频率B: 31132.300 Hz, 周期: 32.121 us</t>
        </is>
      </c>
    </row>
    <row r="148">
      <c r="A148" s="0" t="inlineStr">
        <is>
          <t>OSC33K修调码计算结果: 55.75, 四舍五入取整: 56, 搜索范围: 52 ~ 61</t>
        </is>
      </c>
    </row>
    <row r="149">
      <c r="A149" s="0" t="inlineStr">
        <is>
          <t>📝 原始测量值(CH1): 频率=33156.500 Hz, 占空比=49.768 %, 周期=30.160 us</t>
        </is>
      </c>
    </row>
    <row r="150">
      <c r="A150" s="0" t="inlineStr">
        <is>
          <t>测试修调码 52: 频率=33156.500 Hz, 周期=30.160 us, 与目标周期误差=0.358 us</t>
        </is>
      </c>
    </row>
    <row r="151">
      <c r="A151" s="0" t="inlineStr">
        <is>
          <t>📝 原始测量值(CH1): 频率=32953.600 Hz, 占空比=49.760 %, 周期=30.346 us</t>
        </is>
      </c>
    </row>
    <row r="152">
      <c r="A152" s="0" t="inlineStr">
        <is>
          <t>测试修调码 53: 频率=32953.600 Hz, 周期=30.346 us, 与目标周期误差=0.172 us</t>
        </is>
      </c>
    </row>
    <row r="153">
      <c r="A153" s="0" t="inlineStr">
        <is>
          <t>📝 原始测量值(CH1): 频率=32729.700 Hz, 占空比=49.799 %, 周期=30.553 us</t>
        </is>
      </c>
    </row>
    <row r="154">
      <c r="A154" s="0" t="inlineStr">
        <is>
          <t>测试修调码 54: 频率=32729.700 Hz, 周期=30.553 us, 与目标周期误差=0.036 us</t>
        </is>
      </c>
    </row>
    <row r="155">
      <c r="A155" s="0" t="inlineStr">
        <is>
          <t>📝 原始测量值(CH1): 频率=32547.200 Hz, 占空比=49.771 %, 周期=30.725 us</t>
        </is>
      </c>
    </row>
    <row r="156">
      <c r="A156" s="0" t="inlineStr">
        <is>
          <t>测试修调码 55: 频率=32547.200 Hz, 周期=30.725 us, 与目标周期误差=0.207 us</t>
        </is>
      </c>
    </row>
    <row r="157">
      <c r="A157" s="0" t="inlineStr">
        <is>
          <t>📝 原始测量值(CH1): 频率=32333.200 Hz, 占空比=49.781 %, 周期=30.928 us</t>
        </is>
      </c>
    </row>
    <row r="158">
      <c r="A158" s="0" t="inlineStr">
        <is>
          <t>测试修调码 56: 频率=32333.200 Hz, 周期=30.928 us, 与目标周期误差=0.410 us</t>
        </is>
      </c>
    </row>
    <row r="159">
      <c r="A159" s="0" t="inlineStr">
        <is>
          <t>📝 原始测量值(CH1): 频率=32133.700 Hz, 占空比=49.807 %, 周期=31.120 us</t>
        </is>
      </c>
    </row>
    <row r="160">
      <c r="A160" s="0" t="inlineStr">
        <is>
          <t>测试修调码 57: 频率=32133.700 Hz, 周期=31.120 us, 与目标周期误差=0.602 us</t>
        </is>
      </c>
    </row>
    <row r="161">
      <c r="A161" s="0" t="inlineStr">
        <is>
          <t>📝 原始测量值(CH1): 频率=31928.500 Hz, 占空比=49.745 %, 周期=31.320 us</t>
        </is>
      </c>
    </row>
    <row r="162">
      <c r="A162" s="0" t="inlineStr">
        <is>
          <t>测试修调码 58: 频率=31928.500 Hz, 周期=31.320 us, 与目标周期误差=0.802 us</t>
        </is>
      </c>
    </row>
    <row r="163">
      <c r="A163" s="0" t="inlineStr">
        <is>
          <t>📝 原始测量值(CH1): 频率=31766.200 Hz, 占空比=49.778 %, 周期=31.480 us</t>
        </is>
      </c>
    </row>
    <row r="164">
      <c r="A164" s="0" t="inlineStr">
        <is>
          <t>测试修调码 59: 频率=31766.200 Hz, 周期=31.480 us, 与目标周期误差=0.962 us</t>
        </is>
      </c>
    </row>
    <row r="165">
      <c r="A165" s="0" t="inlineStr">
        <is>
          <t>📝 原始测量值(CH1): 频率=31524.900 Hz, 占空比=49.768 %, 周期=31.721 us</t>
        </is>
      </c>
    </row>
    <row r="166">
      <c r="A166" s="0" t="inlineStr">
        <is>
          <t>测试修调码 60: 频率=31524.900 Hz, 周期=31.721 us, 与目标周期误差=1.203 us</t>
        </is>
      </c>
    </row>
    <row r="167">
      <c r="A167" s="0" t="inlineStr">
        <is>
          <t>📝 原始测量值(CH1): 频率=31368.900 Hz, 占空比=49.782 %, 周期=31.879 us</t>
        </is>
      </c>
    </row>
    <row r="168">
      <c r="A168" s="0" t="inlineStr">
        <is>
          <t>测试修调码 61: 频率=31368.900 Hz, 周期=31.879 us, 与目标周期误差=1.361 us</t>
        </is>
      </c>
    </row>
    <row r="169">
      <c r="A169" s="0" t="inlineStr">
        <is>
          <t>📝 原始测量值(CH1): 频率=32772.600 Hz, 占空比=49.791 %, 周期=30.513 us</t>
        </is>
      </c>
    </row>
    <row r="170">
      <c r="A170" s="0" t="inlineStr">
        <is>
          <t>最终OSC33K频率: 32772.600 Hz, 周期: 30.513 us</t>
        </is>
      </c>
    </row>
    <row r="171">
      <c r="A171" s="0" t="inlineStr">
        <is>
          <t>测试目标频率为type_val=32768.0 Hz, 目标周期为30.518 us</t>
        </is>
      </c>
    </row>
    <row r="172">
      <c r="A172" s="0" t="inlineStr">
        <is>
          <t>📝 原始测量值(CH1): 频率=31300.900 Hz, 占空比=49.756 %, 周期=31.948 us</t>
        </is>
      </c>
    </row>
    <row r="173">
      <c r="A173" s="0" t="inlineStr">
        <is>
          <t>OSC33K频率A: 31300.900 Hz, 周期: 31.948 us</t>
        </is>
      </c>
    </row>
    <row r="174">
      <c r="A174" s="0" t="inlineStr">
        <is>
          <t>📝 原始测量值(CH1): 频率=31097.800 Hz, 占空比=49.729 %, 周期=32.157 us</t>
        </is>
      </c>
    </row>
    <row r="175">
      <c r="A175" s="0" t="inlineStr">
        <is>
          <t>OSC33K频率B: 31097.800 Hz, 周期: 32.157 us</t>
        </is>
      </c>
    </row>
    <row r="176">
      <c r="A176" s="0" t="inlineStr">
        <is>
          <t>OSC33K修调码计算结果: 57.15, 四舍五入取整: 57, 搜索范围: 53 ~ 62</t>
        </is>
      </c>
    </row>
    <row r="177">
      <c r="A177" s="0" t="inlineStr">
        <is>
          <t>📝 原始测量值(CH1): 频率=32979.000 Hz, 占空比=49.759 %, 周期=30.322 us</t>
        </is>
      </c>
    </row>
    <row r="178">
      <c r="A178" s="0" t="inlineStr">
        <is>
          <t>测试修调码 53: 频率=32979.000 Hz, 周期=30.322 us, 与目标周期误差=0.195 us</t>
        </is>
      </c>
    </row>
    <row r="179">
      <c r="A179" s="0" t="inlineStr">
        <is>
          <t>📝 原始测量值(CH1): 频率=32754.200 Hz, 占空比=49.766 %, 周期=30.531 us</t>
        </is>
      </c>
    </row>
    <row r="180">
      <c r="A180" s="0" t="inlineStr">
        <is>
          <t>测试修调码 54: 频率=32754.200 Hz, 周期=30.531 us, 与目标周期误差=0.013 us</t>
        </is>
      </c>
    </row>
    <row r="181">
      <c r="A181" s="0" t="inlineStr">
        <is>
          <t>📝 原始测量值(CH1): 频率=32523.900 Hz, 占空比=49.761 %, 周期=30.747 us</t>
        </is>
      </c>
    </row>
    <row r="182">
      <c r="A182" s="0" t="inlineStr">
        <is>
          <t>测试修调码 55: 频率=32523.900 Hz, 周期=30.747 us, 与目标周期误差=0.229 us</t>
        </is>
      </c>
    </row>
    <row r="183">
      <c r="A183" s="0" t="inlineStr">
        <is>
          <t>📝 原始测量值(CH1): 频率=32326.200 Hz, 占空比=49.765 %, 周期=30.935 us</t>
        </is>
      </c>
    </row>
    <row r="184">
      <c r="A184" s="0" t="inlineStr">
        <is>
          <t>测试修调码 56: 频率=32326.200 Hz, 周期=30.935 us, 与目标周期误差=0.417 us</t>
        </is>
      </c>
    </row>
    <row r="185">
      <c r="A185" s="0" t="inlineStr">
        <is>
          <t>📝 原始测量值(CH1): 频率=32119.500 Hz, 占空比=49.804 %, 周期=31.134 us</t>
        </is>
      </c>
    </row>
    <row r="186">
      <c r="A186" s="0" t="inlineStr">
        <is>
          <t>测试修调码 57: 频率=32119.500 Hz, 周期=31.134 us, 与目标周期误差=0.616 us</t>
        </is>
      </c>
    </row>
    <row r="187">
      <c r="A187" s="0" t="inlineStr">
        <is>
          <t>📝 原始测量值(CH1): 频率=31938.700 Hz, 占空比=49.784 %, 周期=31.310 us</t>
        </is>
      </c>
    </row>
    <row r="188">
      <c r="A188" s="0" t="inlineStr">
        <is>
          <t>测试修调码 58: 频率=31938.700 Hz, 周期=31.310 us, 与目标周期误差=0.792 us</t>
        </is>
      </c>
    </row>
    <row r="189">
      <c r="A189" s="0" t="inlineStr">
        <is>
          <t>📝 原始测量值(CH1): 频率=31758.100 Hz, 占空比=49.769 %, 周期=31.488 us</t>
        </is>
      </c>
    </row>
    <row r="190">
      <c r="A190" s="0" t="inlineStr">
        <is>
          <t>测试修调码 59: 频率=31758.100 Hz, 周期=31.488 us, 与目标周期误差=0.970 us</t>
        </is>
      </c>
    </row>
    <row r="191">
      <c r="A191" s="0" t="inlineStr">
        <is>
          <t>📝 原始测量值(CH1): 频率=31525.900 Hz, 占空比=49.794 %, 周期=31.720 us</t>
        </is>
      </c>
    </row>
    <row r="192">
      <c r="A192" s="0" t="inlineStr">
        <is>
          <t>测试修调码 60: 频率=31525.900 Hz, 周期=31.720 us, 与目标周期误差=1.202 us</t>
        </is>
      </c>
    </row>
    <row r="193">
      <c r="A193" s="0" t="inlineStr">
        <is>
          <t>📝 原始测量值(CH1): 频率=31349.800 Hz, 占空比=49.794 %, 周期=31.898 us</t>
        </is>
      </c>
    </row>
    <row r="194">
      <c r="A194" s="0" t="inlineStr">
        <is>
          <t>测试修调码 61: 频率=31349.800 Hz, 周期=31.898 us, 与目标周期误差=1.381 us</t>
        </is>
      </c>
    </row>
    <row r="195">
      <c r="A195" s="0" t="inlineStr">
        <is>
          <t>📝 原始测量值(CH1): 频率=31196.700 Hz, 占空比=49.747 %, 周期=32.055 us</t>
        </is>
      </c>
    </row>
    <row r="196">
      <c r="A196" s="0" t="inlineStr">
        <is>
          <t>测试修调码 62: 频率=31196.700 Hz, 周期=32.055 us, 与目标周期误差=1.537 us</t>
        </is>
      </c>
    </row>
    <row r="197">
      <c r="A197" s="0" t="inlineStr">
        <is>
          <t>📝 原始测量值(CH1): 频率=32749.500 Hz, 占空比=49.741 %, 周期=30.535 us</t>
        </is>
      </c>
    </row>
    <row r="198">
      <c r="A198" s="0" t="inlineStr">
        <is>
          <t>最终OSC33K频率: 32749.500 Hz, 周期: 30.535 us</t>
        </is>
      </c>
    </row>
    <row r="199">
      <c r="A199" s="0" t="inlineStr">
        <is>
          <t>测试目标频率为type_val=32768.0 Hz, 目标周期为30.518 us</t>
        </is>
      </c>
    </row>
    <row r="200">
      <c r="A200" s="0" t="inlineStr">
        <is>
          <t>📝 原始测量值(CH1): 频率=54728.500 Hz, 占空比=18.564 %, 周期=18.272 us</t>
        </is>
      </c>
    </row>
    <row r="201">
      <c r="A201" s="0" t="inlineStr">
        <is>
          <t>OSC33K频率A: 54728.500 Hz, 周期: 18.272 us</t>
        </is>
      </c>
    </row>
    <row r="202">
      <c r="A202" s="0" t="inlineStr">
        <is>
          <t>📝 原始测量值(CH1): 频率=48524.800 Hz, 占空比=84.162 %, 周期=20.608 us</t>
        </is>
      </c>
    </row>
    <row r="203">
      <c r="A203" s="0" t="inlineStr">
        <is>
          <t>OSC33K频率B: 48524.800 Hz, 周期: 20.608 us</t>
        </is>
      </c>
    </row>
    <row r="204">
      <c r="A204" s="0" t="inlineStr">
        <is>
          <t>OSC33K修调码计算结果: 69.24, 四舍五入取整: 69, 搜索范围: 65 ~ 74</t>
        </is>
      </c>
    </row>
    <row r="205">
      <c r="A205" s="0" t="inlineStr">
        <is>
          <t>📝 原始测量值(CH1): 频率=57339.500 Hz, 占空比=10.963 %, 周期=17.440 us</t>
        </is>
      </c>
    </row>
    <row r="206">
      <c r="A206" s="0" t="inlineStr">
        <is>
          <t>测试修调码 65: 频率=57339.500 Hz, 周期=17.440 us, 与目标周期误差=13.078 us</t>
        </is>
      </c>
    </row>
    <row r="207">
      <c r="A207" s="0" t="inlineStr">
        <is>
          <t>📝 原始测量值(CH1): 频率=46851.600 Hz, 占空比=87.406 %, 周期=21.344 us</t>
        </is>
      </c>
    </row>
    <row r="208">
      <c r="A208" s="0" t="inlineStr">
        <is>
          <t>测试修调码 66: 频率=46851.600 Hz, 周期=21.344 us, 与目标周期误差=9.174 us</t>
        </is>
      </c>
    </row>
    <row r="209">
      <c r="A209" s="0" t="inlineStr">
        <is>
          <t>📝 原始测量值(CH1): 频率=55114.600 Hz, 占空比=11.420 %, 周期=18.144 us</t>
        </is>
      </c>
    </row>
    <row r="210">
      <c r="A210" s="0" t="inlineStr">
        <is>
          <t>测试修调码 67: 频率=55114.600 Hz, 周期=18.144 us, 与目标周期误差=12.374 us</t>
        </is>
      </c>
    </row>
    <row r="211">
      <c r="A211" s="0" t="inlineStr">
        <is>
          <t>📝 原始测量值(CH1): 频率=56509.900 Hz, 占空比=91.320 %, 周期=17.696 us</t>
        </is>
      </c>
    </row>
    <row r="212">
      <c r="A212" s="0" t="inlineStr">
        <is>
          <t>测试修调码 68: 频率=56509.900 Hz, 周期=17.696 us, 与目标周期误差=12.822 us</t>
        </is>
      </c>
    </row>
    <row r="213">
      <c r="A213" s="0" t="inlineStr">
        <is>
          <t>📝 原始测量值(CH1): 频率=53786.600 Hz, 占空比=11.661 %, 周期=18.592 us</t>
        </is>
      </c>
    </row>
    <row r="214">
      <c r="A214" s="0" t="inlineStr">
        <is>
          <t>测试修调码 69: 频率=53786.600 Hz, 周期=18.592 us, 与目标周期误差=11.926 us</t>
        </is>
      </c>
    </row>
    <row r="215">
      <c r="A215" s="0" t="inlineStr">
        <is>
          <t>📝 原始测量值(CH1): 频率=31621.600 Hz, 占空比=96.155 %, 周期=31.624 us</t>
        </is>
      </c>
    </row>
    <row r="216">
      <c r="A216" s="0" t="inlineStr">
        <is>
          <t>测试修调码 70: 频率=31621.600 Hz, 周期=31.624 us, 与目标周期误差=1.106 us</t>
        </is>
      </c>
    </row>
    <row r="217">
      <c r="A217" s="0" t="inlineStr">
        <is>
          <t>📝 原始测量值(CH1): 频率=66880.700 Hz, 占空比=10.701 %, 周期=14.952 us</t>
        </is>
      </c>
    </row>
    <row r="218">
      <c r="A218" s="0" t="inlineStr">
        <is>
          <t>测试修调码 71: 频率=66880.700 Hz, 周期=14.952 us, 与目标周期误差=15.566 us</t>
        </is>
      </c>
    </row>
    <row r="219">
      <c r="A219" s="0" t="inlineStr">
        <is>
          <t>📝 原始测量值(CH1): 频率=55017.600 Hz, 占空比=22.007 %, 周期=18.176 us</t>
        </is>
      </c>
    </row>
    <row r="220">
      <c r="A220" s="0" t="inlineStr">
        <is>
          <t>测试修调码 72: 频率=55017.600 Hz, 周期=18.176 us, 与目标周期误差=12.342 us</t>
        </is>
      </c>
    </row>
    <row r="221">
      <c r="A221" s="0" t="inlineStr">
        <is>
          <t>📝 原始测量值(CH1): 频率=47205.400 Hz, 占空比=86.707 %, 周期=21.184 us</t>
        </is>
      </c>
    </row>
    <row r="222">
      <c r="A222" s="0" t="inlineStr">
        <is>
          <t>测试修调码 73: 频率=47205.400 Hz, 周期=21.184 us, 与目标周期误差=9.334 us</t>
        </is>
      </c>
    </row>
    <row r="223">
      <c r="A223" s="0" t="inlineStr">
        <is>
          <t>📝 原始测量值(CH1): 频率=51588.900 Hz, 占空比=15.642 %, 周期=19.384 us</t>
        </is>
      </c>
    </row>
    <row r="224">
      <c r="A224" s="0" t="inlineStr">
        <is>
          <t>测试修调码 74: 频率=51588.900 Hz, 周期=19.384 us, 与目标周期误差=11.134 us</t>
        </is>
      </c>
    </row>
    <row r="225">
      <c r="A225" s="0" t="inlineStr">
        <is>
          <t>📝 原始测量值(CH1): 频率=53671.100 Hz, 占空比=10.992 %, 周期=18.632 us</t>
        </is>
      </c>
    </row>
    <row r="226">
      <c r="A226" s="0" t="inlineStr">
        <is>
          <t>最终OSC33K频率: 53671.100 Hz, 周期: 18.632 us</t>
        </is>
      </c>
    </row>
    <row r="227">
      <c r="A227" s="0" t="inlineStr">
        <is>
          <t>测试目标频率为type_val=32768.0 Hz, 目标周期为30.518 us</t>
        </is>
      </c>
    </row>
    <row r="228">
      <c r="A228" s="0" t="inlineStr">
        <is>
          <t>📝 原始测量值(CH1): 频率=56306.300 Hz, 占空比=10.060 %, 周期=17.760 us</t>
        </is>
      </c>
    </row>
    <row r="229">
      <c r="A229" s="0" t="inlineStr">
        <is>
          <t>OSC33K频率A: 56306.300 Hz, 周期: 17.760 us</t>
        </is>
      </c>
    </row>
    <row r="230">
      <c r="A230" s="0" t="inlineStr">
        <is>
          <t>📝 原始测量值(CH1): 频率=31725.900 Hz, 占空比=48.731 %, 周期=31.520 us</t>
        </is>
      </c>
    </row>
    <row r="231">
      <c r="A231" s="0" t="inlineStr">
        <is>
          <t>OSC33K频率B: 31725.900 Hz, 周期: 31.520 us</t>
        </is>
      </c>
    </row>
    <row r="232">
      <c r="A232" s="0" t="inlineStr">
        <is>
          <t>OSC33K修调码计算结果: 64.93, 四舍五入取整: 65, 搜索范围: 61 ~ 70</t>
        </is>
      </c>
    </row>
    <row r="233">
      <c r="A233" s="0" t="inlineStr">
        <is>
          <t>📝 原始测量值(CH1): 频率=31334.900 Hz, 占空比=49.384 %, 周期=31.913 us</t>
        </is>
      </c>
    </row>
    <row r="234">
      <c r="A234" s="0" t="inlineStr">
        <is>
          <t>测试修调码 61: 频率=31334.900 Hz, 周期=31.913 us, 与目标周期误差=1.396 us</t>
        </is>
      </c>
    </row>
    <row r="235">
      <c r="A235" s="0" t="inlineStr">
        <is>
          <t>📝 原始测量值(CH1): 频率=31486.100 Hz, 占空比=53.149 %, 周期=31.760 us</t>
        </is>
      </c>
    </row>
    <row r="236">
      <c r="A236" s="0" t="inlineStr">
        <is>
          <t>测试修调码 62: 频率=31486.100 Hz, 周期=31.760 us, 与目标周期误差=1.242 us</t>
        </is>
      </c>
    </row>
    <row r="237">
      <c r="A237" s="0" t="inlineStr">
        <is>
          <t>📝 原始测量值(CH1): 频率=53648.100 Hz, 占空比=8.584 %, 周期=18.640 us</t>
        </is>
      </c>
    </row>
    <row r="238">
      <c r="A238" s="0" t="inlineStr">
        <is>
          <t>测试修调码 63: 频率=53648.100 Hz, 周期=18.640 us, 与目标周期误差=11.878 us</t>
        </is>
      </c>
    </row>
    <row r="239">
      <c r="A239" s="0" t="inlineStr">
        <is>
          <t>📝 原始测量值(CH1): 频率=31328.300 Hz, 占空比=48.956 %, 周期=31.920 us</t>
        </is>
      </c>
    </row>
    <row r="240">
      <c r="A240" s="0" t="inlineStr">
        <is>
          <t>测试修调码 64: 频率=31328.300 Hz, 周期=31.920 us, 与目标周期误差=1.402 us</t>
        </is>
      </c>
    </row>
    <row r="241">
      <c r="A241" s="0" t="inlineStr">
        <is>
          <t>📝 原始测量值(CH1): 频率=53648.100 Hz, 占空比=12.446 %, 周期=18.640 us</t>
        </is>
      </c>
    </row>
    <row r="242">
      <c r="A242" s="0" t="inlineStr">
        <is>
          <t>测试修调码 65: 频率=53648.100 Hz, 周期=18.640 us, 与目标周期误差=11.878 us</t>
        </is>
      </c>
    </row>
    <row r="243">
      <c r="A243" s="0" t="inlineStr">
        <is>
          <t>📝 原始测量值(CH1): 频率=31172.100 Hz, 占空比=46.384 %, 周期=32.080 us</t>
        </is>
      </c>
    </row>
    <row r="244">
      <c r="A244" s="0" t="inlineStr">
        <is>
          <t>测试修调码 66: 频率=31172.100 Hz, 周期=32.080 us, 与目标周期误差=1.562 us</t>
        </is>
      </c>
    </row>
    <row r="245">
      <c r="A245" s="0" t="inlineStr">
        <is>
          <t>📝 原始测量值(CH1): 频率=54824.600 Hz, 占空比=86.842 %, 周期=18.240 us</t>
        </is>
      </c>
    </row>
    <row r="246">
      <c r="A246" s="0" t="inlineStr">
        <is>
          <t>测试修调码 67: 频率=54824.600 Hz, 周期=18.240 us, 与目标周期误差=12.278 us</t>
        </is>
      </c>
    </row>
    <row r="247">
      <c r="A247" s="0" t="inlineStr">
        <is>
          <t>📝 原始测量值(CH1): 频率=30339.800 Hz, 占空比=46.602 %, 周期=32.960 us</t>
        </is>
      </c>
    </row>
    <row r="248">
      <c r="A248" s="0" t="inlineStr">
        <is>
          <t>测试修调码 68: 频率=30339.800 Hz, 周期=32.960 us, 与目标周期误差=2.442 us</t>
        </is>
      </c>
    </row>
    <row r="249">
      <c r="A249" s="0" t="inlineStr">
        <is>
          <t>📝 原始测量值(CH1): 频率=30487.800 Hz, 占空比=45.610 %, 周期=32.800 us</t>
        </is>
      </c>
    </row>
    <row r="250">
      <c r="A250" s="0" t="inlineStr">
        <is>
          <t>测试修调码 69: 频率=30487.800 Hz, 周期=32.800 us, 与目标周期误差=2.282 us</t>
        </is>
      </c>
    </row>
    <row r="251">
      <c r="A251" s="0" t="inlineStr">
        <is>
          <t>📝 原始测量值(CH1): 频率=55066.100 Hz, 占空比=85.903 %, 周期=18.160 us</t>
        </is>
      </c>
    </row>
    <row r="252">
      <c r="A252" s="0" t="inlineStr">
        <is>
          <t>测试修调码 70: 频率=55066.100 Hz, 周期=18.160 us, 与目标周期误差=12.358 us</t>
        </is>
      </c>
    </row>
    <row r="253">
      <c r="A253" s="0" t="inlineStr">
        <is>
          <t>📝 原始测量值(CH1): 频率=30807.100 Hz, 占空比=45.348 %, 周期=32.460 us</t>
        </is>
      </c>
    </row>
    <row r="254">
      <c r="A254" s="0" t="inlineStr">
        <is>
          <t>最终OSC33K频率: 30807.100 Hz, 周期: 32.460 us</t>
        </is>
      </c>
    </row>
    <row r="255">
      <c r="A255" s="0" t="inlineStr">
        <is>
          <t>测试目标频率为type_val=32768.0 Hz, 目标周期为30.518 us</t>
        </is>
      </c>
    </row>
    <row r="256">
      <c r="A256" s="0" t="inlineStr">
        <is>
          <t>📝 原始测量值(CH1): 频率=31545.700 Hz, 占空比=47.760 %, 周期=31.700 us</t>
        </is>
      </c>
    </row>
    <row r="257">
      <c r="A257" s="0" t="inlineStr">
        <is>
          <t>OSC33K频率A: 31545.700 Hz, 周期: 31.700 us</t>
        </is>
      </c>
    </row>
    <row r="258">
      <c r="A258" s="0" t="inlineStr">
        <is>
          <t>📝 原始测量值(CH1): 频率=31328.300 Hz, 占空比=45.927 %, 周期=31.920 us</t>
        </is>
      </c>
    </row>
    <row r="259">
      <c r="A259" s="0" t="inlineStr">
        <is>
          <t>OSC33K频率B: 31328.300 Hz, 周期: 31.920 us</t>
        </is>
      </c>
    </row>
    <row r="260">
      <c r="A260" s="0" t="inlineStr">
        <is>
          <t>OSC33K修调码计算结果: 58.63, 四舍五入取整: 59, 搜索范围: 55 ~ 64</t>
        </is>
      </c>
    </row>
    <row r="261">
      <c r="A261" s="0" t="inlineStr">
        <is>
          <t>📝 原始测量值(CH1): 频率=33068.800 Hz, 占空比=45.767 %, 周期=30.240 us</t>
        </is>
      </c>
    </row>
    <row r="262">
      <c r="A262" s="0" t="inlineStr">
        <is>
          <t>测试修调码 55: 频率=33068.800 Hz, 周期=30.240 us, 与目标周期误差=0.278 us</t>
        </is>
      </c>
    </row>
    <row r="263">
      <c r="A263" s="0" t="inlineStr">
        <is>
          <t>📝 原始测量值(CH1): 频率=32467.500 Hz, 占空比=46.299 %, 周期=30.800 us</t>
        </is>
      </c>
    </row>
    <row r="264">
      <c r="A264" s="0" t="inlineStr">
        <is>
          <t>测试修调码 56: 频率=32467.500 Hz, 周期=30.800 us, 与目标周期误差=0.282 us</t>
        </is>
      </c>
    </row>
    <row r="265">
      <c r="A265" s="0" t="inlineStr">
        <is>
          <t>📝 原始测量值(CH1): 频率=32383.400 Hz, 占空比=46.179 %, 周期=30.880 us</t>
        </is>
      </c>
    </row>
    <row r="266">
      <c r="A266" s="0" t="inlineStr">
        <is>
          <t>测试修调码 57: 频率=32383.400 Hz, 周期=30.880 us, 与目标周期误差=0.362 us</t>
        </is>
      </c>
    </row>
    <row r="267">
      <c r="A267" s="0" t="inlineStr">
        <is>
          <t>📝 原始测量值(CH1): 频率=32216.500 Hz, 占空比=46.456 %, 周期=31.040 us</t>
        </is>
      </c>
    </row>
    <row r="268">
      <c r="A268" s="0" t="inlineStr">
        <is>
          <t>测试修调码 58: 频率=32216.500 Hz, 周期=31.040 us, 与目标周期误差=0.522 us</t>
        </is>
      </c>
    </row>
    <row r="269">
      <c r="A269" s="0" t="inlineStr">
        <is>
          <t>📝 原始测量值(CH1): 频率=31328.300 Hz, 占空比=48.120 %, 周期=31.920 us</t>
        </is>
      </c>
    </row>
    <row r="270">
      <c r="A270" s="0" t="inlineStr">
        <is>
          <t>测试修调码 59: 频率=31328.300 Hz, 周期=31.920 us, 与目标周期误差=1.402 us</t>
        </is>
      </c>
    </row>
    <row r="271">
      <c r="A271" s="0" t="inlineStr">
        <is>
          <t>📝 原始测量值(CH1): 频率=31191.500 Hz, 占空比=46.600 %, 周期=32.060 us</t>
        </is>
      </c>
    </row>
    <row r="272">
      <c r="A272" s="0" t="inlineStr">
        <is>
          <t>测试修调码 60: 频率=31191.500 Hz, 周期=32.060 us, 与目标周期误差=1.542 us</t>
        </is>
      </c>
    </row>
    <row r="273">
      <c r="A273" s="0" t="inlineStr">
        <is>
          <t>📝 原始测量值(CH1): 频率=31348.000 Hz, 占空比=47.398 %, 周期=31.900 us</t>
        </is>
      </c>
    </row>
    <row r="274">
      <c r="A274" s="0" t="inlineStr">
        <is>
          <t>测试修调码 61: 频率=31348.000 Hz, 周期=31.900 us, 与目标周期误差=1.382 us</t>
        </is>
      </c>
    </row>
    <row r="275">
      <c r="A275" s="0" t="inlineStr">
        <is>
          <t>📝 原始测量值(CH1): 频率=31806.600 Hz, 占空比=48.855 %, 周期=31.440 us</t>
        </is>
      </c>
    </row>
    <row r="276">
      <c r="A276" s="0" t="inlineStr">
        <is>
          <t>测试修调码 62: 频率=31806.600 Hz, 周期=31.440 us, 与目标周期误差=0.922 us</t>
        </is>
      </c>
    </row>
    <row r="277">
      <c r="A277" s="0" t="inlineStr">
        <is>
          <t>📝 原始测量值(CH1): 频率=31191.500 Hz, 占空比=48.596 %, 周期=32.060 us</t>
        </is>
      </c>
    </row>
    <row r="278">
      <c r="A278" s="0" t="inlineStr">
        <is>
          <t>测试修调码 63: 频率=31191.500 Hz, 周期=32.060 us, 与目标周期误差=1.542 us</t>
        </is>
      </c>
    </row>
    <row r="279">
      <c r="A279" s="0" t="inlineStr">
        <is>
          <t>📝 原始测量值(CH1): 频率=30807.100 Hz, 占空比=49.230 %, 周期=32.460 us</t>
        </is>
      </c>
    </row>
    <row r="280">
      <c r="A280" s="0" t="inlineStr">
        <is>
          <t>测试修调码 64: 频率=30807.100 Hz, 周期=32.460 us, 与目标周期误差=1.942 us</t>
        </is>
      </c>
    </row>
    <row r="281">
      <c r="A281" s="0" t="inlineStr">
        <is>
          <t>📝 原始测量值(CH1): 频率=33003.300 Hz, 占空比=46.667 %, 周期=30.300 us</t>
        </is>
      </c>
    </row>
    <row r="282">
      <c r="A282" s="0" t="inlineStr">
        <is>
          <t>最终OSC33K频率: 33003.300 Hz, 周期: 30.300 us</t>
        </is>
      </c>
    </row>
    <row r="283">
      <c r="A283" s="0" t="inlineStr">
        <is>
          <t>测试目标频率为type_val=32768.0 Hz, 目标周期为30.518 us</t>
        </is>
      </c>
    </row>
    <row r="284">
      <c r="A284" s="0" t="inlineStr">
        <is>
          <t>📝 原始测量值(CH1): 频率=31426.800 Hz, 占空比=48.523 %, 周期=31.820 us</t>
        </is>
      </c>
    </row>
    <row r="285">
      <c r="A285" s="0" t="inlineStr">
        <is>
          <t>OSC33K频率A: 31426.800 Hz, 周期: 31.820 us</t>
        </is>
      </c>
    </row>
    <row r="286">
      <c r="A286" s="0" t="inlineStr">
        <is>
          <t>📝 原始测量值(CH1): 频率=31486.100 Hz, 占空比=47.418 %, 周期=31.760 us</t>
        </is>
      </c>
    </row>
    <row r="287">
      <c r="A287" s="0" t="inlineStr">
        <is>
          <t>OSC33K频率B: 31486.100 Hz, 周期: 31.760 us</t>
        </is>
      </c>
    </row>
    <row r="288">
      <c r="A288" s="0" t="inlineStr">
        <is>
          <t>OSC33K修调码计算结果: 85.71, 四舍五入取整: 86, 搜索范围: 82 ~ 91</t>
        </is>
      </c>
    </row>
    <row r="289">
      <c r="A289" s="0" t="inlineStr">
        <is>
          <t>📝 原始测量值(CH1): 频率=28153.200 Hz, 占空比=48.198 %, 周期=35.520 us</t>
        </is>
      </c>
    </row>
    <row r="290">
      <c r="A290" s="0" t="inlineStr">
        <is>
          <t>测试修调码 82: 频率=28153.200 Hz, 周期=35.520 us, 与目标周期误差=5.002 us</t>
        </is>
      </c>
    </row>
    <row r="291">
      <c r="A291" s="0" t="inlineStr">
        <is>
          <t>📝 原始测量值(CH1): 频率=28409.100 Hz, 占空比=47.500 %, 周期=35.200 us</t>
        </is>
      </c>
    </row>
    <row r="292">
      <c r="A292" s="0" t="inlineStr">
        <is>
          <t>测试修调码 83: 频率=28409.100 Hz, 周期=35.200 us, 与目标周期误差=4.682 us</t>
        </is>
      </c>
    </row>
    <row r="293">
      <c r="A293" s="0" t="inlineStr">
        <is>
          <t>📝 原始测量值(CH1): 频率=28153.200 Hz, 占空比=46.622 %, 周期=35.520 us</t>
        </is>
      </c>
    </row>
    <row r="294">
      <c r="A294" s="0" t="inlineStr">
        <is>
          <t>测试修调码 84: 频率=28153.200 Hz, 周期=35.520 us, 与目标周期误差=5.002 us</t>
        </is>
      </c>
    </row>
    <row r="295">
      <c r="A295" s="0" t="inlineStr">
        <is>
          <t>📝 原始测量值(CH1): 频率=28026.900 Hz, 占空比=45.964 %, 周期=35.680 us</t>
        </is>
      </c>
    </row>
    <row r="296">
      <c r="A296" s="0" t="inlineStr">
        <is>
          <t>测试修调码 85: 频率=28026.900 Hz, 周期=35.680 us, 与目标周期误差=5.162 us</t>
        </is>
      </c>
    </row>
    <row r="297">
      <c r="A297" s="0" t="inlineStr">
        <is>
          <t>📝 原始测量值(CH1): 频率=27716.200 Hz, 占空比=47.450 %, 周期=36.080 us</t>
        </is>
      </c>
    </row>
    <row r="298">
      <c r="A298" s="0" t="inlineStr">
        <is>
          <t>测试修调码 86: 频率=27716.200 Hz, 周期=36.080 us, 与目标周期误差=5.562 us</t>
        </is>
      </c>
    </row>
    <row r="299">
      <c r="A299" s="0" t="inlineStr">
        <is>
          <t>📝 原始测量值(CH1): 频率=27777.800 Hz, 占空比=46.222 %, 周期=36.000 us</t>
        </is>
      </c>
    </row>
    <row r="300">
      <c r="A300" s="0" t="inlineStr">
        <is>
          <t>测试修调码 87: 频率=27777.800 Hz, 周期=36.000 us, 与目标周期误差=5.482 us</t>
        </is>
      </c>
    </row>
    <row r="301">
      <c r="A301" s="0" t="inlineStr">
        <is>
          <t>📝 原始测量值(CH1): 频率=27292.600 Hz, 占空比=45.852 %, 周期=36.640 us</t>
        </is>
      </c>
    </row>
    <row r="302">
      <c r="A302" s="0" t="inlineStr">
        <is>
          <t>测试修调码 88: 频率=27292.600 Hz, 周期=36.640 us, 与目标周期误差=6.122 us</t>
        </is>
      </c>
    </row>
    <row r="303">
      <c r="A303" s="0" t="inlineStr">
        <is>
          <t>📝 原始测量值(CH1): 频率=27517.900 Hz, 占空比=47.331 %, 周期=36.340 us</t>
        </is>
      </c>
    </row>
    <row r="304">
      <c r="A304" s="0" t="inlineStr">
        <is>
          <t>测试修调码 89: 频率=27517.900 Hz, 周期=36.340 us, 与目标周期误差=5.822 us</t>
        </is>
      </c>
    </row>
    <row r="305">
      <c r="A305" s="0" t="inlineStr">
        <is>
          <t>📝 原始测量值(CH1): 频率=27173.900 Hz, 占空比=48.478 %, 周期=36.800 us</t>
        </is>
      </c>
    </row>
    <row r="306">
      <c r="A306" s="0" t="inlineStr">
        <is>
          <t>测试修调码 90: 频率=27173.900 Hz, 周期=36.800 us, 与目标周期误差=6.282 us</t>
        </is>
      </c>
    </row>
    <row r="307">
      <c r="A307" s="0" t="inlineStr">
        <is>
          <t>📝 原始测量值(CH1): 频率=27115.000 Hz, 占空比=46.638 %, 周期=36.880 us</t>
        </is>
      </c>
    </row>
    <row r="308">
      <c r="A308" s="0" t="inlineStr">
        <is>
          <t>测试修调码 91: 频率=27115.000 Hz, 周期=36.880 us, 与目标周期误差=6.362 us</t>
        </is>
      </c>
    </row>
    <row r="309">
      <c r="A309" s="0" t="inlineStr">
        <is>
          <t>📝 原始测量值(CH1): 频率=28280.500 Hz, 占空比=47.285 %, 周期=35.360 us</t>
        </is>
      </c>
    </row>
    <row r="310">
      <c r="A310" s="0" t="inlineStr">
        <is>
          <t>最终OSC33K频率: 28280.500 Hz, 周期: 35.360 us</t>
        </is>
      </c>
    </row>
    <row r="311">
      <c r="A311" s="0" t="inlineStr">
        <is>
          <t>测试目标频率为type_val=32768.0 Hz, 目标周期为30.518 us</t>
        </is>
      </c>
    </row>
    <row r="312">
      <c r="A312" s="0" t="inlineStr">
        <is>
          <t>📝 原始测量值(CH1): 频率=31328.300 Hz, 占空比=46.930 %, 周期=31.920 us</t>
        </is>
      </c>
    </row>
    <row r="313">
      <c r="A313" s="0" t="inlineStr">
        <is>
          <t>OSC33K频率A: 31328.300 Hz, 周期: 31.920 us</t>
        </is>
      </c>
    </row>
    <row r="314">
      <c r="A314" s="0" t="inlineStr">
        <is>
          <t>📝 原始测量值(CH1): 频率=31250.000 Hz, 占空比=46.250 %, 周期=32.000 us</t>
        </is>
      </c>
    </row>
    <row r="315">
      <c r="A315" s="0" t="inlineStr">
        <is>
          <t>OSC33K频率B: 31250.000 Hz, 周期: 32.000 us</t>
        </is>
      </c>
    </row>
    <row r="316">
      <c r="A316" s="0" t="inlineStr">
        <is>
          <t>OSC33K修调码计算结果: 46.47, 四舍五入取整: 46, 搜索范围: 42 ~ 51</t>
        </is>
      </c>
    </row>
    <row r="317">
      <c r="A317" s="0" t="inlineStr">
        <is>
          <t>📝 原始测量值(CH1): 频率=35919.500 Hz, 占空比=46.264 %, 周期=27.840 us</t>
        </is>
      </c>
    </row>
    <row r="318">
      <c r="A318" s="0" t="inlineStr">
        <is>
          <t>测试修调码 42: 频率=35919.500 Hz, 周期=27.840 us, 与目标周期误差=2.678 us</t>
        </is>
      </c>
    </row>
    <row r="319">
      <c r="A319" s="0" t="inlineStr">
        <is>
          <t>📝 原始测量值(CH1): 频率=35893.800 Hz, 占空比=47.164 %, 周期=27.860 us</t>
        </is>
      </c>
    </row>
    <row r="320">
      <c r="A320" s="0" t="inlineStr">
        <is>
          <t>测试修调码 43: 频率=35893.800 Hz, 周期=27.860 us, 与目标周期误差=2.658 us</t>
        </is>
      </c>
    </row>
    <row r="321">
      <c r="A321" s="0" t="inlineStr">
        <is>
          <t>📝 原始测量值(CH1): 频率=35486.200 Hz, 占空比=46.629 %, 周期=28.180 us</t>
        </is>
      </c>
    </row>
    <row r="322">
      <c r="A322" s="0" t="inlineStr">
        <is>
          <t>测试修调码 44: 频率=35486.200 Hz, 周期=28.180 us, 与目标周期误差=2.338 us</t>
        </is>
      </c>
    </row>
    <row r="323">
      <c r="A323" s="0" t="inlineStr">
        <is>
          <t>📝 原始测量值(CH1): 频率=34626.000 Hz, 占空比=48.199 %, 周期=28.880 us</t>
        </is>
      </c>
    </row>
    <row r="324">
      <c r="A324" s="0" t="inlineStr">
        <is>
          <t>测试修调码 45: 频率=34626.000 Hz, 周期=28.880 us, 与目标周期误差=1.638 us</t>
        </is>
      </c>
    </row>
    <row r="325">
      <c r="A325" s="0" t="inlineStr">
        <is>
          <t>📝 原始测量值(CH1): 频率=34554.300 Hz, 占空比=48.099 %, 周期=28.940 us</t>
        </is>
      </c>
    </row>
    <row r="326">
      <c r="A326" s="0" t="inlineStr">
        <is>
          <t>测试修调码 46: 频率=34554.300 Hz, 周期=28.940 us, 与目标周期误差=1.578 us</t>
        </is>
      </c>
    </row>
    <row r="327">
      <c r="A327" s="0" t="inlineStr">
        <is>
          <t>📝 原始测量值(CH1): 频率=34364.300 Hz, 占空比=46.735 %, 周期=29.100 us</t>
        </is>
      </c>
    </row>
    <row r="328">
      <c r="A328" s="0" t="inlineStr">
        <is>
          <t>测试修调码 47: 频率=34364.300 Hz, 周期=29.100 us, 与目标周期误差=1.418 us</t>
        </is>
      </c>
    </row>
    <row r="329">
      <c r="A329" s="0" t="inlineStr">
        <is>
          <t>📝 原始测量值(CH1): 频率=33990.500 Hz, 占空比=46.703 %, 周期=29.420 us</t>
        </is>
      </c>
    </row>
    <row r="330">
      <c r="A330" s="0" t="inlineStr">
        <is>
          <t>测试修调码 48: 频率=33990.500 Hz, 周期=29.420 us, 与目标周期误差=1.098 us</t>
        </is>
      </c>
    </row>
    <row r="331">
      <c r="A331" s="0" t="inlineStr">
        <is>
          <t>📝 原始测量值(CH1): 频率=34059.900 Hz, 占空比=46.594 %, 周期=29.360 us</t>
        </is>
      </c>
    </row>
    <row r="332">
      <c r="A332" s="0" t="inlineStr">
        <is>
          <t>测试修调码 49: 频率=34059.900 Hz, 周期=29.360 us, 与目标周期误差=1.158 us</t>
        </is>
      </c>
    </row>
    <row r="333">
      <c r="A333" s="0" t="inlineStr">
        <is>
          <t>📝 原始测量值(CH1): 频率=34059.900 Hz, 占空比=47.411 %, 周期=29.360 us</t>
        </is>
      </c>
    </row>
    <row r="334">
      <c r="A334" s="0" t="inlineStr">
        <is>
          <t>测试修调码 50: 频率=34059.900 Hz, 周期=29.360 us, 与目标周期误差=1.158 us</t>
        </is>
      </c>
    </row>
    <row r="335">
      <c r="A335" s="0" t="inlineStr">
        <is>
          <t>📝 原始测量值(CH1): 频率=33875.300 Hz, 占空比=49.322 %, 周期=29.520 us</t>
        </is>
      </c>
    </row>
    <row r="336">
      <c r="A336" s="0" t="inlineStr">
        <is>
          <t>测试修调码 51: 频率=33875.300 Hz, 周期=29.520 us, 与目标周期误差=0.998 us</t>
        </is>
      </c>
    </row>
    <row r="337">
      <c r="A337" s="0" t="inlineStr">
        <is>
          <t>📝 原始测量值(CH1): 频率=34129.700 Hz, 占空比=45.392 %, 周期=29.300 us</t>
        </is>
      </c>
    </row>
    <row r="338">
      <c r="A338" s="0" t="inlineStr">
        <is>
          <t>最终OSC33K频率: 34129.700 Hz, 周期: 29.300 us</t>
        </is>
      </c>
    </row>
    <row r="339">
      <c r="A339" s="0" t="inlineStr">
        <is>
          <t>测试目标频率为type_val=32768.0 Hz, 目标周期为30.518 us</t>
        </is>
      </c>
    </row>
    <row r="340">
      <c r="A340" s="0" t="inlineStr">
        <is>
          <t>📝 原始测量值(CH1): 频率=31645.600 Hz, 占空比=47.089 %, 周期=31.600 us</t>
        </is>
      </c>
    </row>
    <row r="341">
      <c r="A341" s="0" t="inlineStr">
        <is>
          <t>OSC33K频率A: 31645.600 Hz, 周期: 31.600 us</t>
        </is>
      </c>
    </row>
    <row r="342">
      <c r="A342" s="0" t="inlineStr">
        <is>
          <t>📝 原始测量值(CH1): 频率=31645.600 Hz, 占空比=49.367 %, 周期=31.600 us</t>
        </is>
      </c>
    </row>
    <row r="343">
      <c r="A343" s="0" t="inlineStr">
        <is>
          <t>OSC33K频率B: 31645.600 Hz, 周期: 31.600 us</t>
        </is>
      </c>
    </row>
    <row r="344">
      <c r="A344" s="0" t="inlineStr">
        <is>
          <t>⚠️ OSC33K修调码线性插值失败(分母为0), 切换到全局遍历模式(0~127)</t>
        </is>
      </c>
    </row>
    <row r="345">
      <c r="A345" s="0" t="inlineStr">
        <is>
          <t>📝 原始测量值(CH1): 频率=39308.200 Hz, 占空比=46.541 %, 周期=25.440 us</t>
        </is>
      </c>
    </row>
    <row r="346">
      <c r="A346" s="0" t="inlineStr">
        <is>
          <t>测试修调码 28: 频率=39308.200 Hz, 周期=25.440 us, 与目标周期误差=5.078 us</t>
        </is>
      </c>
    </row>
    <row r="347">
      <c r="A347" s="0" t="inlineStr">
        <is>
          <t>📝 原始测量值(CH1): 频率=38819.900 Hz, 占空比=47.516 %, 周期=25.760 us</t>
        </is>
      </c>
    </row>
    <row r="348">
      <c r="A348" s="0" t="inlineStr">
        <is>
          <t>测试修调码 29: 频率=38819.900 Hz, 周期=25.760 us, 与目标周期误差=4.758 us</t>
        </is>
      </c>
    </row>
    <row r="349">
      <c r="A349" s="0" t="inlineStr">
        <is>
          <t>📝 原始测量值(CH1): 频率=39185.000 Hz, 占空比=47.649 %, 周期=25.520 us</t>
        </is>
      </c>
    </row>
    <row r="350">
      <c r="A350" s="0" t="inlineStr">
        <is>
          <t>测试修调码 30: 频率=39185.000 Hz, 周期=25.520 us, 与目标周期误差=4.998 us</t>
        </is>
      </c>
    </row>
    <row r="351">
      <c r="A351" s="0" t="inlineStr">
        <is>
          <t>📝 原始测量值(CH1): 频率=37650.600 Hz, 占空比=47.289 %, 周期=26.560 us</t>
        </is>
      </c>
    </row>
    <row r="352">
      <c r="A352" s="0" t="inlineStr">
        <is>
          <t>测试修调码 31: 频率=37650.600 Hz, 周期=26.560 us, 与目标周期误差=3.958 us</t>
        </is>
      </c>
    </row>
    <row r="353">
      <c r="A353" s="0" t="inlineStr">
        <is>
          <t>📝 原始测量值(CH1): 频率=38343.600 Hz, 占空比=47.853 %, 周期=26.080 us</t>
        </is>
      </c>
    </row>
    <row r="354">
      <c r="A354" s="0" t="inlineStr">
        <is>
          <t>测试修调码 32: 频率=38343.600 Hz, 周期=26.080 us, 与目标周期误差=4.438 us</t>
        </is>
      </c>
    </row>
    <row r="355">
      <c r="A355" s="0" t="inlineStr">
        <is>
          <t>📝 原始测量值(CH1): 频率=37878.800 Hz, 占空比=48.182 %, 周期=26.400 us</t>
        </is>
      </c>
    </row>
    <row r="356">
      <c r="A356" s="0" t="inlineStr">
        <is>
          <t>测试修调码 33: 频率=37878.800 Hz, 周期=26.400 us, 与目标周期误差=4.118 us</t>
        </is>
      </c>
    </row>
    <row r="357">
      <c r="A357" s="0" t="inlineStr">
        <is>
          <t>📝 原始测量值(CH1): 频率=37537.500 Hz, 占空比=48.348 %, 周期=26.640 us</t>
        </is>
      </c>
    </row>
    <row r="358">
      <c r="A358" s="0" t="inlineStr">
        <is>
          <t>测试修调码 34: 频率=37537.500 Hz, 周期=26.640 us, 与目标周期误差=3.878 us</t>
        </is>
      </c>
    </row>
    <row r="359">
      <c r="A359" s="0" t="inlineStr">
        <is>
          <t>📝 原始测量值(CH1): 频率=37764.400 Hz, 占空比=48.338 %, 周期=26.480 us</t>
        </is>
      </c>
    </row>
    <row r="360">
      <c r="A360" s="0" t="inlineStr">
        <is>
          <t>测试修调码 35: 频率=37764.400 Hz, 周期=26.480 us, 与目标周期误差=4.038 us</t>
        </is>
      </c>
    </row>
    <row r="361">
      <c r="A361" s="0" t="inlineStr">
        <is>
          <t>📝 原始测量值(CH1): 频率=37965.100 Hz, 占空比=51.405 %, 周期=26.340 us</t>
        </is>
      </c>
    </row>
    <row r="362">
      <c r="A362" s="0" t="inlineStr">
        <is>
          <t>测试修调码 36: 频率=37965.100 Hz, 周期=26.340 us, 与目标周期误差=4.178 us</t>
        </is>
      </c>
    </row>
    <row r="363">
      <c r="A363" s="0" t="inlineStr">
        <is>
          <t>📝 原始测量值(CH1): 频率=36873.200 Hz, 占空比=47.198 %, 周期=27.120 us</t>
        </is>
      </c>
    </row>
    <row r="364">
      <c r="A364" s="0" t="inlineStr">
        <is>
          <t>测试修调码 37: 频率=36873.200 Hz, 周期=27.120 us, 与目标周期误差=3.398 us</t>
        </is>
      </c>
    </row>
    <row r="365">
      <c r="A365" s="0" t="inlineStr">
        <is>
          <t>📝 原始测量值(CH1): 频率=36873.200 Hz, 占空比=49.557 %, 周期=27.120 us</t>
        </is>
      </c>
    </row>
    <row r="366">
      <c r="A366" s="0" t="inlineStr">
        <is>
          <t>测试修调码 38: 频率=36873.200 Hz, 周期=27.120 us, 与目标周期误差=3.398 us</t>
        </is>
      </c>
    </row>
    <row r="367">
      <c r="A367" s="0" t="inlineStr">
        <is>
          <t>📝 原始测量值(CH1): 频率=36258.200 Hz, 占空比=49.891 %, 周期=27.580 us</t>
        </is>
      </c>
    </row>
    <row r="368">
      <c r="A368" s="0" t="inlineStr">
        <is>
          <t>测试修调码 39: 频率=36258.200 Hz, 周期=27.580 us, 与目标周期误差=2.938 us</t>
        </is>
      </c>
    </row>
    <row r="369">
      <c r="A369" s="0" t="inlineStr">
        <is>
          <t>📝 原始测量值(CH1): 频率=36023.100 Hz, 占空比=48.127 %, 周期=27.760 us</t>
        </is>
      </c>
    </row>
    <row r="370">
      <c r="A370" s="0" t="inlineStr">
        <is>
          <t>最终OSC33K频率: 36023.100 Hz, 周期: 27.760 us</t>
        </is>
      </c>
    </row>
    <row r="371">
      <c r="A371" s="0" t="inlineStr">
        <is>
          <t>测试目标频率为type_val=32768.0 Hz, 目标周期为30.518 us</t>
        </is>
      </c>
    </row>
    <row r="372">
      <c r="A372" s="0" t="inlineStr">
        <is>
          <t>📝 原始测量值(CH1): 频率=31725.900 Hz, 占空比=48.223 %, 周期=31.520 us</t>
        </is>
      </c>
    </row>
    <row r="373">
      <c r="A373" s="0" t="inlineStr">
        <is>
          <t>OSC33K频率A: 31725.900 Hz, 周期: 31.520 us</t>
        </is>
      </c>
    </row>
    <row r="374">
      <c r="A374" s="0" t="inlineStr">
        <is>
          <t>📝 原始测量值(CH1): 频率=31172.100 Hz, 占空比=44.825 %, 周期=32.080 us</t>
        </is>
      </c>
    </row>
    <row r="375">
      <c r="A375" s="0" t="inlineStr">
        <is>
          <t>OSC33K频率B: 31172.100 Hz, 周期: 32.080 us</t>
        </is>
      </c>
    </row>
    <row r="376">
      <c r="A376" s="0" t="inlineStr">
        <is>
          <t>OSC33K修调码计算结果: 62.21, 四舍五入取整: 62, 搜索范围: 58 ~ 67</t>
        </is>
      </c>
    </row>
    <row r="377">
      <c r="A377" s="0" t="inlineStr">
        <is>
          <t>📝 原始测量值(CH1): 频率=31486.100 Hz, 占空比=46.599 %, 周期=31.760 us</t>
        </is>
      </c>
    </row>
    <row r="378">
      <c r="A378" s="0" t="inlineStr">
        <is>
          <t>测试修调码 58: 频率=31486.100 Hz, 周期=31.760 us, 与目标周期误差=1.242 us</t>
        </is>
      </c>
    </row>
    <row r="379">
      <c r="A379" s="0" t="inlineStr">
        <is>
          <t>📝 原始测量值(CH1): 频率=31806.600 Hz, 占空比=46.565 %, 周期=31.440 us</t>
        </is>
      </c>
    </row>
    <row r="380">
      <c r="A380" s="0" t="inlineStr">
        <is>
          <t>测试修调码 59: 频率=31806.600 Hz, 周期=31.440 us, 与目标周期误差=0.922 us</t>
        </is>
      </c>
    </row>
    <row r="381">
      <c r="A381" s="0" t="inlineStr">
        <is>
          <t>📝 原始测量值(CH1): 频率=31725.900 Hz, 占空比=47.462 %, 周期=31.520 us</t>
        </is>
      </c>
    </row>
    <row r="382">
      <c r="A382" s="0" t="inlineStr">
        <is>
          <t>测试修调码 60: 频率=31725.900 Hz, 周期=31.520 us, 与目标周期误差=1.002 us</t>
        </is>
      </c>
    </row>
    <row r="383">
      <c r="A383" s="0" t="inlineStr">
        <is>
          <t>📝 原始测量值(CH1): 频率=31387.300 Hz, 占空比=45.951 %, 周期=31.860 us</t>
        </is>
      </c>
    </row>
    <row r="384">
      <c r="A384" s="0" t="inlineStr">
        <is>
          <t>测试修调码 61: 频率=31387.300 Hz, 周期=31.860 us, 与目标周期误差=1.342 us</t>
        </is>
      </c>
    </row>
    <row r="385">
      <c r="A385" s="0" t="inlineStr">
        <is>
          <t>📝 原始测量值(CH1): 频率=31725.900 Hz, 占空比=46.447 %, 周期=31.520 us</t>
        </is>
      </c>
    </row>
    <row r="386">
      <c r="A386" s="0" t="inlineStr">
        <is>
          <t>测试修调码 62: 频率=31725.900 Hz, 周期=31.520 us, 与目标周期误差=1.002 us</t>
        </is>
      </c>
    </row>
    <row r="387">
      <c r="A387" s="0" t="inlineStr">
        <is>
          <t>📝 原始测量值(CH1): 频率=31017.400 Hz, 占空比=47.395 %, 周期=32.240 us</t>
        </is>
      </c>
    </row>
    <row r="388">
      <c r="A388" s="0" t="inlineStr">
        <is>
          <t>测试修调码 63: 频率=31017.400 Hz, 周期=32.240 us, 与目标周期误差=1.722 us</t>
        </is>
      </c>
    </row>
    <row r="389">
      <c r="A389" s="0" t="inlineStr">
        <is>
          <t>📝 原始测量值(CH1): 频率=31172.100 Hz, 占空比=47.631 %, 周期=32.080 us</t>
        </is>
      </c>
    </row>
    <row r="390">
      <c r="A390" s="0" t="inlineStr">
        <is>
          <t>测试修调码 64: 频率=31172.100 Hz, 周期=32.080 us, 与目标周期误差=1.562 us</t>
        </is>
      </c>
    </row>
    <row r="391">
      <c r="A391" s="0" t="inlineStr">
        <is>
          <t>📝 原始测量值(CH1): 频率=31407.000 Hz, 占空比=46.985 %, 周期=31.840 us</t>
        </is>
      </c>
    </row>
    <row r="392">
      <c r="A392" s="0" t="inlineStr">
        <is>
          <t>测试修调码 65: 频率=31407.000 Hz, 周期=31.840 us, 与目标周期误差=1.322 us</t>
        </is>
      </c>
    </row>
    <row r="393">
      <c r="A393" s="0" t="inlineStr">
        <is>
          <t>📝 原始测量值(CH1): 频率=31250.000 Hz, 占空比=44.562 %, 周期=32.000 us</t>
        </is>
      </c>
    </row>
    <row r="394">
      <c r="A394" s="0" t="inlineStr">
        <is>
          <t>测试修调码 66: 频率=31250.000 Hz, 周期=32.000 us, 与目标周期误差=1.482 us</t>
        </is>
      </c>
    </row>
    <row r="395">
      <c r="A395" s="0" t="inlineStr">
        <is>
          <t>📝 原始测量值(CH1): 频率=30788.200 Hz, 占空比=48.276 %, 周期=32.480 us</t>
        </is>
      </c>
    </row>
    <row r="396">
      <c r="A396" s="0" t="inlineStr">
        <is>
          <t>测试修调码 67: 频率=30788.200 Hz, 周期=32.480 us, 与目标周期误差=1.962 us</t>
        </is>
      </c>
    </row>
    <row r="397">
      <c r="A397" s="0" t="inlineStr">
        <is>
          <t>📝 原始测量值(CH1): 频率=32051.300 Hz, 占空比=45.641 %, 周期=31.200 us</t>
        </is>
      </c>
    </row>
    <row r="398">
      <c r="A398" s="0" t="inlineStr">
        <is>
          <t>最终OSC33K频率: 32051.300 Hz, 周期: 31.200 us</t>
        </is>
      </c>
    </row>
    <row r="399">
      <c r="A399" s="0" t="inlineStr">
        <is>
          <t>读取寄存器失败: Unspecified error.</t>
        </is>
      </c>
    </row>
    <row r="400">
      <c r="A400" s="0" t="inlineStr">
        <is>
          <t>读取寄存器失败！</t>
        </is>
      </c>
    </row>
    <row r="401">
      <c r="A401" s="0" t="inlineStr">
        <is>
          <t>读取寄存器失败: Unspecified error.</t>
        </is>
      </c>
    </row>
    <row r="402">
      <c r="A402" s="0" t="inlineStr">
        <is>
          <t>读取寄存器失败！</t>
        </is>
      </c>
    </row>
    <row r="403">
      <c r="A403" s="0" t="inlineStr">
        <is>
          <t>读取寄存器失败: Unspecified error.</t>
        </is>
      </c>
    </row>
    <row r="404">
      <c r="A404" s="0" t="inlineStr">
        <is>
          <t>读取寄存器失败！</t>
        </is>
      </c>
    </row>
    <row r="405">
      <c r="A405" s="0" t="inlineStr">
        <is>
          <t>测试目标频率为type_val=32768.0 Hz, 目标周期为30.518 us</t>
        </is>
      </c>
    </row>
    <row r="406">
      <c r="A406" s="0" t="inlineStr">
        <is>
          <t>读取寄存器失败: Unspecified error.</t>
        </is>
      </c>
    </row>
    <row r="407">
      <c r="A407" s="0" t="inlineStr">
        <is>
          <t>读取寄存器失败！</t>
        </is>
      </c>
    </row>
    <row r="408">
      <c r="A408" s="0" t="inlineStr">
        <is>
          <t>📝 原始测量值(CH1): 频率=361.272 Hz, 占空比=95.906 %, 周期=2768.000 us</t>
        </is>
      </c>
    </row>
    <row r="409">
      <c r="A409" s="0" t="inlineStr">
        <is>
          <t>OSC33K频率A: 361.272 Hz, 周期: 2768.000 us</t>
        </is>
      </c>
    </row>
    <row r="410">
      <c r="A410" s="0" t="inlineStr">
        <is>
          <t>读取寄存器失败: Unspecified error.</t>
        </is>
      </c>
    </row>
    <row r="411">
      <c r="A411" s="0" t="inlineStr">
        <is>
          <t>读取寄存器失败！</t>
        </is>
      </c>
    </row>
    <row r="412">
      <c r="A412" s="0" t="inlineStr">
        <is>
          <t>📝 原始测量值(CH1): 频率=17201.800 Hz, 占空比=77.982 %, 周期=58.133 us</t>
        </is>
      </c>
    </row>
    <row r="413">
      <c r="A413" s="0" t="inlineStr">
        <is>
          <t>OSC33K频率B: 17201.800 Hz, 周期: 58.133 us</t>
        </is>
      </c>
    </row>
    <row r="414">
      <c r="A414" s="0" t="inlineStr">
        <is>
          <t>OSC33K修调码计算结果: 65.01, 四舍五入取整: 65, 搜索范围: 61 ~ 70</t>
        </is>
      </c>
    </row>
    <row r="415">
      <c r="A415" s="0" t="inlineStr">
        <is>
          <t>读取寄存器失败: Unspecified error.</t>
        </is>
      </c>
    </row>
    <row r="416">
      <c r="A416" s="0" t="inlineStr">
        <is>
          <t>读取寄存器失败！</t>
        </is>
      </c>
    </row>
    <row r="417">
      <c r="A417" s="0" t="inlineStr">
        <is>
          <t>📝 原始测量值(CH1): 频率=1061.600 Hz, 占空比=2.052 %, 周期=942.000 us</t>
        </is>
      </c>
    </row>
    <row r="418">
      <c r="A418" s="0" t="inlineStr">
        <is>
          <t>测试修调码 61: 频率=1061.600 Hz, 周期=942.000 us, 与目标周期误差=911.482 us</t>
        </is>
      </c>
    </row>
    <row r="419">
      <c r="A419" s="0" t="inlineStr">
        <is>
          <t>读取寄存器失败: Unspecified error.</t>
        </is>
      </c>
    </row>
    <row r="420">
      <c r="A420" s="0" t="inlineStr">
        <is>
          <t>读取寄存器失败！</t>
        </is>
      </c>
    </row>
    <row r="421">
      <c r="A421" s="0" t="inlineStr">
        <is>
          <t>📝 原始测量值(CH1): 频率=3503.100 Hz, 占空比=28.336 %, 周期=285.460 us</t>
        </is>
      </c>
    </row>
    <row r="422">
      <c r="A422" s="0" t="inlineStr">
        <is>
          <t>测试修调码 62: 频率=3503.100 Hz, 周期=285.460 us, 与目标周期误差=254.943 us</t>
        </is>
      </c>
    </row>
    <row r="423">
      <c r="A423" s="0" t="inlineStr">
        <is>
          <t>读取寄存器失败: Unspecified error.</t>
        </is>
      </c>
    </row>
    <row r="424">
      <c r="A424" s="0" t="inlineStr">
        <is>
          <t>读取寄存器失败！</t>
        </is>
      </c>
    </row>
    <row r="425">
      <c r="A425" s="0" t="inlineStr">
        <is>
          <t>📝 原始测量值(CH1): 频率=6048.400 Hz, 占空比=48.387 %, 周期=165.333 us</t>
        </is>
      </c>
    </row>
    <row r="426">
      <c r="A426" s="0" t="inlineStr">
        <is>
          <t>测试修调码 63: 频率=6048.400 Hz, 周期=165.333 us, 与目标周期误差=134.816 us</t>
        </is>
      </c>
    </row>
    <row r="427">
      <c r="A427" s="0" t="inlineStr">
        <is>
          <t>读取寄存器失败: Unspecified error.</t>
        </is>
      </c>
    </row>
    <row r="428">
      <c r="A428" s="0" t="inlineStr">
        <is>
          <t>读取寄存器失败！</t>
        </is>
      </c>
    </row>
    <row r="429">
      <c r="A429" s="0" t="inlineStr">
        <is>
          <t>📝 原始测量值(CH1): 频率=1138.700 Hz, 占空比=61.172 %, 周期=878.222 us</t>
        </is>
      </c>
    </row>
    <row r="430">
      <c r="A430" s="0" t="inlineStr">
        <is>
          <t>测试修调码 64: 频率=1138.700 Hz, 周期=878.222 us, 与目标周期误差=847.705 us</t>
        </is>
      </c>
    </row>
    <row r="431">
      <c r="A431" s="0" t="inlineStr">
        <is>
          <t>读取寄存器失败: Unspecified error.</t>
        </is>
      </c>
    </row>
    <row r="432">
      <c r="A432" s="0" t="inlineStr">
        <is>
          <t>读取寄存器失败！</t>
        </is>
      </c>
    </row>
    <row r="433">
      <c r="A433" s="0" t="inlineStr">
        <is>
          <t>📝 原始测量值(CH1): 频率=260.457 Hz, 占空比=0.839 %, 周期=3839.400 us</t>
        </is>
      </c>
    </row>
    <row r="434">
      <c r="A434" s="0" t="inlineStr">
        <is>
          <t>测试修调码 65: 频率=260.457 Hz, 周期=3839.400 us, 与目标周期误差=3808.882 us</t>
        </is>
      </c>
    </row>
    <row r="435">
      <c r="A435" s="0" t="inlineStr">
        <is>
          <t>读取寄存器失败: Unspecified error.</t>
        </is>
      </c>
    </row>
    <row r="436">
      <c r="A436" s="0" t="inlineStr">
        <is>
          <t>读取寄存器失败！</t>
        </is>
      </c>
    </row>
    <row r="437">
      <c r="A437" s="0" t="inlineStr">
        <is>
          <t>📝 原始测量值(CH1): 频率=1126.100 Hz, 占空比=19.294 %, 周期=888.000 us</t>
        </is>
      </c>
    </row>
    <row r="438">
      <c r="A438" s="0" t="inlineStr">
        <is>
          <t>测试修调码 66: 频率=1126.100 Hz, 周期=888.000 us, 与目标周期误差=857.482 us</t>
        </is>
      </c>
    </row>
    <row r="439">
      <c r="A439" s="0" t="inlineStr">
        <is>
          <t>读取寄存器失败: Unspecified error.</t>
        </is>
      </c>
    </row>
    <row r="440">
      <c r="A440" s="0" t="inlineStr">
        <is>
          <t>读取寄存器失败！</t>
        </is>
      </c>
    </row>
    <row r="441">
      <c r="A441" s="0" t="inlineStr">
        <is>
          <t>📝 原始测量值(CH1): 频率=297.632 Hz, 占空比=96.666 %, 周期=3359.900 us</t>
        </is>
      </c>
    </row>
    <row r="442">
      <c r="A442" s="0" t="inlineStr">
        <is>
          <t>测试修调码 67: 频率=297.632 Hz, 周期=3359.900 us, 与目标周期误差=3329.382 us</t>
        </is>
      </c>
    </row>
    <row r="443">
      <c r="A443" s="0" t="inlineStr">
        <is>
          <t>读取寄存器失败: Unspecified error.</t>
        </is>
      </c>
    </row>
    <row r="444">
      <c r="A444" s="0" t="inlineStr">
        <is>
          <t>读取寄存器失败！</t>
        </is>
      </c>
    </row>
    <row r="445">
      <c r="A445" s="0" t="inlineStr">
        <is>
          <t>📝 原始测量值(CH1): 频率=1648.600 Hz, 占空比=15.893 %, 周期=606.571 us</t>
        </is>
      </c>
    </row>
    <row r="446">
      <c r="A446" s="0" t="inlineStr">
        <is>
          <t>测试修调码 68: 频率=1648.600 Hz, 周期=606.571 us, 与目标周期误差=576.054 us</t>
        </is>
      </c>
    </row>
    <row r="447">
      <c r="A447" s="0" t="inlineStr">
        <is>
          <t>读取寄存器失败: Unspecified error.</t>
        </is>
      </c>
    </row>
    <row r="448">
      <c r="A448" s="0" t="inlineStr">
        <is>
          <t>读取寄存器失败！</t>
        </is>
      </c>
    </row>
    <row r="449">
      <c r="A449" s="0" t="inlineStr">
        <is>
          <t>📝 原始测量值(CH1): 频率=959.079 Hz, 占空比=99.361 %, 周期=1042.700 us</t>
        </is>
      </c>
    </row>
    <row r="450">
      <c r="A450" s="0" t="inlineStr">
        <is>
          <t>测试修调码 69: 频率=959.079 Hz, 周期=1042.700 us, 与目标周期误差=1012.182 us</t>
        </is>
      </c>
    </row>
    <row r="451">
      <c r="A451" s="0" t="inlineStr">
        <is>
          <t>读取寄存器失败: Unspecified error.</t>
        </is>
      </c>
    </row>
    <row r="452">
      <c r="A452" s="0" t="inlineStr">
        <is>
          <t>读取寄存器失败！</t>
        </is>
      </c>
    </row>
    <row r="453">
      <c r="A453" s="0" t="inlineStr">
        <is>
          <t>📝 原始测量值(CH1): 频率=1313.500 Hz, 占空比=5.204 %, 周期=761.333 us</t>
        </is>
      </c>
    </row>
    <row r="454">
      <c r="A454" s="0" t="inlineStr">
        <is>
          <t>测试修调码 70: 频率=1313.500 Hz, 周期=761.333 us, 与目标周期误差=730.816 us</t>
        </is>
      </c>
    </row>
    <row r="455">
      <c r="A455" s="0" t="inlineStr">
        <is>
          <t>读取寄存器失败: Unspecified error.</t>
        </is>
      </c>
    </row>
    <row r="456">
      <c r="A456" s="0" t="inlineStr">
        <is>
          <t>读取寄存器失败！</t>
        </is>
      </c>
    </row>
    <row r="457">
      <c r="A457" s="0" t="inlineStr">
        <is>
          <t>📝 原始测量值(CH1): 频率=340.948 Hz, 占空比=0.239 %, 周期=2933.000 us</t>
        </is>
      </c>
    </row>
    <row r="458">
      <c r="A458" s="0" t="inlineStr">
        <is>
          <t>最终OSC33K频率: 340.948 Hz, 周期: 2933.000 us</t>
        </is>
      </c>
    </row>
    <row r="459">
      <c r="A459" s="0" t="inlineStr">
        <is>
          <t>测试目标频率为type_val=32768.0 Hz, 目标周期为30.518 us</t>
        </is>
      </c>
    </row>
    <row r="460">
      <c r="A460" s="0" t="inlineStr">
        <is>
          <t>📝 原始测量值(CH1): 频率=284090.900 Hz, 占空比=87.727 %, 周期=3.520 us</t>
        </is>
      </c>
    </row>
    <row r="461">
      <c r="A461" s="0" t="inlineStr">
        <is>
          <t>OSC33K频率A: 284090.900 Hz, 周期: 3.520 us</t>
        </is>
      </c>
    </row>
    <row r="462">
      <c r="A462" s="0" t="inlineStr">
        <is>
          <t>📝 原始测量值(CH1): 频率=4054100.000 Hz, 占空比=52.703 %, 周期=0.247 us</t>
        </is>
      </c>
    </row>
    <row r="463">
      <c r="A463" s="0" t="inlineStr">
        <is>
          <t>OSC33K频率B: 4054100.000 Hz, 周期: 0.247 us</t>
        </is>
      </c>
    </row>
    <row r="464">
      <c r="A464" s="0" t="inlineStr">
        <is>
          <t>OSC33K修调码计算结果: 55.75, 四舍五入取整: 56, 搜索范围: 52 ~ 61</t>
        </is>
      </c>
    </row>
    <row r="465">
      <c r="A465" s="0" t="inlineStr">
        <is>
          <t>📝 原始测量值(CH1): 频率=224773.500 Hz, 占空比=1.856 %, 周期=4.449 us</t>
        </is>
      </c>
    </row>
    <row r="466">
      <c r="A466" s="0" t="inlineStr">
        <is>
          <t>测试修调码 52: 频率=224773.500 Hz, 周期=4.449 us, 与目标周期误差=26.069 us</t>
        </is>
      </c>
    </row>
    <row r="467">
      <c r="A467" s="0" t="inlineStr">
        <is>
          <t>📝 原始测量值(CH1): 频率=3906300.000 Hz, 占空比=89.844 %, 周期=0.256 us</t>
        </is>
      </c>
    </row>
    <row r="468">
      <c r="A468" s="0" t="inlineStr">
        <is>
          <t>测试修调码 53: 频率=3906300.000 Hz, 周期=0.256 us, 与目标周期误差=30.262 us</t>
        </is>
      </c>
    </row>
    <row r="469">
      <c r="A469" s="0" t="inlineStr">
        <is>
          <t>📝 原始测量值(CH1): 频率=64356.400 Hz, 占空比=6.041 %, 周期=15.539 us</t>
        </is>
      </c>
    </row>
    <row r="470">
      <c r="A470" s="0" t="inlineStr">
        <is>
          <t>测试修调码 54: 频率=64356.400 Hz, 周期=15.539 us, 与目标周期误差=14.979 us</t>
        </is>
      </c>
    </row>
    <row r="471">
      <c r="A471" s="0" t="inlineStr">
        <is>
          <t>📝 原始测量值(CH1): 频率=4148700.000 Hz, 占空比=53.640 %, 周期=0.241 us</t>
        </is>
      </c>
    </row>
    <row r="472">
      <c r="A472" s="0" t="inlineStr">
        <is>
          <t>测试修调码 55: 频率=4148700.000 Hz, 周期=0.241 us, 与目标周期误差=30.277 us</t>
        </is>
      </c>
    </row>
    <row r="473">
      <c r="A473" s="0" t="inlineStr">
        <is>
          <t>📝 原始测量值(CH1): 频率=297147.400 Hz, 占空比=58.026 %, 周期=3.365 us</t>
        </is>
      </c>
    </row>
    <row r="474">
      <c r="A474" s="0" t="inlineStr">
        <is>
          <t>测试修调码 56: 频率=297147.400 Hz, 周期=3.365 us, 与目标周期误差=27.152 us</t>
        </is>
      </c>
    </row>
    <row r="475">
      <c r="A475" s="0" t="inlineStr">
        <is>
          <t>📝 原始测量值(CH1): 频率=1322800.000 Hz, 占空比=50.794 %, 周期=0.756 us</t>
        </is>
      </c>
    </row>
    <row r="476">
      <c r="A476" s="0" t="inlineStr">
        <is>
          <t>测试修调码 57: 频率=1322800.000 Hz, 周期=0.756 us, 与目标周期误差=29.762 us</t>
        </is>
      </c>
    </row>
    <row r="477">
      <c r="A477" s="0" t="inlineStr">
        <is>
          <t>📝 原始测量值(CH1): 频率=2857100.000 Hz, 占空比=25.714 %, 周期=0.350 us</t>
        </is>
      </c>
    </row>
    <row r="478">
      <c r="A478" s="0" t="inlineStr">
        <is>
          <t>测试修调码 58: 频率=2857100.000 Hz, 周期=0.350 us, 与目标周期误差=30.168 us</t>
        </is>
      </c>
    </row>
    <row r="479">
      <c r="A479" s="0" t="inlineStr">
        <is>
          <t>📝 原始测量值(CH1): 频率=2822600.000 Hz, 占空比=73.387 %, 周期=0.354 us</t>
        </is>
      </c>
    </row>
    <row r="480">
      <c r="A480" s="0" t="inlineStr">
        <is>
          <t>测试修调码 59: 频率=2822600.000 Hz, 周期=0.354 us, 与目标周期误差=30.163 us</t>
        </is>
      </c>
    </row>
    <row r="481">
      <c r="A481" s="0" t="inlineStr">
        <is>
          <t>📝 原始测量值(CH1): 频率=3782400.000 Hz, 占空比=44.380 %, 周期=0.264 us</t>
        </is>
      </c>
    </row>
    <row r="482">
      <c r="A482" s="0" t="inlineStr">
        <is>
          <t>测试修调码 60: 频率=3782400.000 Hz, 周期=0.264 us, 与目标周期误差=30.253 us</t>
        </is>
      </c>
    </row>
    <row r="483">
      <c r="A483" s="0" t="inlineStr">
        <is>
          <t>📝 原始测量值(CH1): 频率=122303.800 Hz, 占空比=89.668 %, 周期=8.176 us</t>
        </is>
      </c>
    </row>
    <row r="484">
      <c r="A484" s="0" t="inlineStr">
        <is>
          <t>测试修调码 61: 频率=122303.800 Hz, 周期=8.176 us, 与目标周期误差=22.341 us</t>
        </is>
      </c>
    </row>
    <row r="485">
      <c r="A485" s="0" t="inlineStr">
        <is>
          <t>📝 原始测量值(CH1): 频率=3571400.000 Hz, 占空比=42.857 %, 周期=0.280 us</t>
        </is>
      </c>
    </row>
    <row r="486">
      <c r="A486" s="0" t="inlineStr">
        <is>
          <t>最终OSC33K频率: 3571400.000 Hz, 周期: 0.280 us</t>
        </is>
      </c>
    </row>
    <row r="487">
      <c r="A487" s="0" t="inlineStr">
        <is>
          <t>测试目标频率为type_val=32768.0 Hz, 目标周期为30.518 us</t>
        </is>
      </c>
    </row>
    <row r="488">
      <c r="A488" s="0" t="inlineStr">
        <is>
          <t>📝 原始测量值(CH1): 频率=19441.000 Hz, 占空比=66.919 %, 周期=51.438 us</t>
        </is>
      </c>
    </row>
    <row r="489">
      <c r="A489" s="0" t="inlineStr">
        <is>
          <t>OSC33K频率A: 19441.000 Hz, 周期: 51.438 us</t>
        </is>
      </c>
    </row>
    <row r="490">
      <c r="A490" s="0" t="inlineStr">
        <is>
          <t>📝 原始测量值(CH1): 频率=4261400.000 Hz, 占空比=67.513 %, 周期=0.235 us</t>
        </is>
      </c>
    </row>
    <row r="491">
      <c r="A491" s="0" t="inlineStr">
        <is>
          <t>OSC33K频率B: 4261400.000 Hz, 周期: 0.235 us</t>
        </is>
      </c>
    </row>
    <row r="492">
      <c r="A492" s="0" t="inlineStr">
        <is>
          <t>OSC33K修调码计算结果: 64.41, 四舍五入取整: 64, 搜索范围: 60 ~ 69</t>
        </is>
      </c>
    </row>
    <row r="493">
      <c r="A493" s="0" t="inlineStr">
        <is>
          <t>📝 原始测量值(CH1): 频率=4424800.000 Hz, 占空比=57.522 %, 周期=0.226 us</t>
        </is>
      </c>
    </row>
    <row r="494">
      <c r="A494" s="0" t="inlineStr">
        <is>
          <t>测试修调码 60: 频率=4424800.000 Hz, 周期=0.226 us, 与目标周期误差=30.292 us</t>
        </is>
      </c>
    </row>
    <row r="495">
      <c r="A495" s="0" t="inlineStr">
        <is>
          <t>📝 原始测量值(CH1): 频率=4166700.000 Hz, 占空比=51.250 %, 周期=0.240 us</t>
        </is>
      </c>
    </row>
    <row r="496">
      <c r="A496" s="0" t="inlineStr">
        <is>
          <t>测试修调码 61: 频率=4166700.000 Hz, 周期=0.240 us, 与目标周期误差=30.278 us</t>
        </is>
      </c>
    </row>
    <row r="497">
      <c r="A497" s="0" t="inlineStr">
        <is>
          <t>📝 原始测量值(CH1): 频率=21661.300 Hz, 占空比=93.550 %, 周期=46.165 us</t>
        </is>
      </c>
    </row>
    <row r="498">
      <c r="A498" s="0" t="inlineStr">
        <is>
          <t>测试修调码 62: 频率=21661.300 Hz, 周期=46.165 us, 与目标周期误差=15.648 us</t>
        </is>
      </c>
    </row>
    <row r="499">
      <c r="A499" s="0" t="inlineStr">
        <is>
          <t>📝 原始测量值(CH1): 频率=16446.900 Hz, 占空比=97.703 %, 周期=60.802 us</t>
        </is>
      </c>
    </row>
    <row r="500">
      <c r="A500" s="0" t="inlineStr">
        <is>
          <t>测试修调码 63: 频率=16446.900 Hz, 周期=60.802 us, 与目标周期误差=30.284 us</t>
        </is>
      </c>
    </row>
    <row r="501">
      <c r="A501" s="0" t="inlineStr">
        <is>
          <t>📝 原始测量值(CH1): 频率=5000000.000 Hz, 占空比=50.000 %, 周期=0.200 us</t>
        </is>
      </c>
    </row>
    <row r="502">
      <c r="A502" s="0" t="inlineStr">
        <is>
          <t>测试修调码 64: 频率=5000000.000 Hz, 周期=0.200 us, 与目标周期误差=30.318 us</t>
        </is>
      </c>
    </row>
    <row r="503">
      <c r="A503" s="0" t="inlineStr">
        <is>
          <t>📝 原始测量值(CH1): 频率=29295.700 Hz, 占空比=77.985 %, 周期=34.135 us</t>
        </is>
      </c>
    </row>
    <row r="504">
      <c r="A504" s="0" t="inlineStr">
        <is>
          <t>测试修调码 65: 频率=29295.700 Hz, 周期=34.135 us, 与目标周期误差=3.617 us</t>
        </is>
      </c>
    </row>
    <row r="505">
      <c r="A505" s="0" t="inlineStr">
        <is>
          <t>📝 原始测量值(CH1): 频率=290352.400 Hz, 占空比=94.394 %, 周期=3.444 us</t>
        </is>
      </c>
    </row>
    <row r="506">
      <c r="A506" s="0" t="inlineStr">
        <is>
          <t>测试修调码 66: 频率=290352.400 Hz, 周期=3.444 us, 与目标周期误差=27.073 us</t>
        </is>
      </c>
    </row>
    <row r="507">
      <c r="A507" s="0" t="inlineStr">
        <is>
          <t>📝 原始测量值(CH1): 频率=62807.900 Hz, 占空比=87.675 %, 周期=15.922 us</t>
        </is>
      </c>
    </row>
    <row r="508">
      <c r="A508" s="0" t="inlineStr">
        <is>
          <t>测试修调码 67: 频率=62807.900 Hz, 周期=15.922 us, 与目标周期误差=14.596 us</t>
        </is>
      </c>
    </row>
    <row r="509">
      <c r="A509" s="0" t="inlineStr">
        <is>
          <t>📝 原始测量值(CH1): 频率=3797500.000 Hz, 占空比=48.101 %, 周期=0.263 us</t>
        </is>
      </c>
    </row>
    <row r="510">
      <c r="A510" s="0" t="inlineStr">
        <is>
          <t>测试修调码 68: 频率=3797500.000 Hz, 周期=0.263 us, 与目标周期误差=30.254 us</t>
        </is>
      </c>
    </row>
    <row r="511">
      <c r="A511" s="0" t="inlineStr">
        <is>
          <t>📝 原始测量值(CH1): 频率=4347800.000 Hz, 占空比=79.503 %, 周期=0.230 us</t>
        </is>
      </c>
    </row>
    <row r="512">
      <c r="A512" s="0" t="inlineStr">
        <is>
          <t>测试修调码 69: 频率=4347800.000 Hz, 周期=0.230 us, 与目标周期误差=30.288 us</t>
        </is>
      </c>
    </row>
    <row r="513">
      <c r="A513" s="0" t="inlineStr">
        <is>
          <t>📝 原始测量值(CH1): 频率=3831400.000 Hz, 占空比=31.035 %, 周期=0.261 us</t>
        </is>
      </c>
    </row>
    <row r="514">
      <c r="A514" s="0" t="inlineStr">
        <is>
          <t>最终OSC33K频率: 3831400.000 Hz, 周期: 0.261 us</t>
        </is>
      </c>
    </row>
    <row r="515">
      <c r="A515" s="0" t="inlineStr">
        <is>
          <t>测试目标频率为type_val=32768.0 Hz, 目标周期为30.518 us</t>
        </is>
      </c>
    </row>
    <row r="516">
      <c r="A516" s="0" t="inlineStr">
        <is>
          <t>📝 原始测量值(CH1): 频率=121113.400 Hz, 占空比=66.379 %, 周期=8.257 us</t>
        </is>
      </c>
    </row>
    <row r="517">
      <c r="A517" s="0" t="inlineStr">
        <is>
          <t>OSC33K频率A: 121113.400 Hz, 周期: 8.257 us</t>
        </is>
      </c>
    </row>
    <row r="518">
      <c r="A518" s="0" t="inlineStr">
        <is>
          <t>📝 原始测量值(CH1): 频率=2510000.000 Hz, 占空比=52.955 %, 周期=0.398 us</t>
        </is>
      </c>
    </row>
    <row r="519">
      <c r="A519" s="0" t="inlineStr">
        <is>
          <t>OSC33K频率B: 2510000.000 Hz, 周期: 0.398 us</t>
        </is>
      </c>
    </row>
    <row r="520">
      <c r="A520" s="0" t="inlineStr">
        <is>
          <t>OSC33K修调码计算结果: 61.17, 四舍五入取整: 61, 搜索范围: 57 ~ 66</t>
        </is>
      </c>
    </row>
    <row r="521">
      <c r="A521" s="0" t="inlineStr">
        <is>
          <t>📝 原始测量值(CH1): 频率=20000000.000 Hz, 占空比=85.333 %, 周期=0.050 us</t>
        </is>
      </c>
    </row>
    <row r="522">
      <c r="A522" s="0" t="inlineStr">
        <is>
          <t>测试修调码 57: 频率=20000000.000 Hz, 周期=0.050 us, 与目标周期误差=30.468 us</t>
        </is>
      </c>
    </row>
    <row r="523">
      <c r="A523" s="0" t="inlineStr">
        <is>
          <t>📝 原始测量值(CH1): 频率=11718800.000 Hz, 占空比=50.000 %, 周期=0.085 us</t>
        </is>
      </c>
    </row>
    <row r="524">
      <c r="A524" s="0" t="inlineStr">
        <is>
          <t>测试修调码 58: 频率=11718800.000 Hz, 周期=0.085 us, 与目标周期误差=30.432 us</t>
        </is>
      </c>
    </row>
    <row r="525">
      <c r="A525" s="0" t="inlineStr">
        <is>
          <t>📝 原始测量值(CH1): 频率=1112100.000 Hz, 占空比=49.924 %, 周期=0.899 us</t>
        </is>
      </c>
    </row>
    <row r="526">
      <c r="A526" s="0" t="inlineStr">
        <is>
          <t>测试修调码 59: 频率=1112100.000 Hz, 周期=0.899 us, 与目标周期误差=29.618 us</t>
        </is>
      </c>
    </row>
    <row r="527">
      <c r="A527" s="0" t="inlineStr">
        <is>
          <t>📝 原始测量值(CH1): 频率=428734.800 Hz, 占空比=20.255 %, 周期=2.332 us</t>
        </is>
      </c>
    </row>
    <row r="528">
      <c r="A528" s="0" t="inlineStr">
        <is>
          <t>测试修调码 60: 频率=428734.800 Hz, 周期=2.332 us, 与目标周期误差=28.185 us</t>
        </is>
      </c>
    </row>
    <row r="529">
      <c r="A529" s="0" t="inlineStr">
        <is>
          <t>📝 原始测量值(CH1): 频率=2265900.000 Hz, 占空比=72.508 %, 周期=0.441 us</t>
        </is>
      </c>
    </row>
    <row r="530">
      <c r="A530" s="0" t="inlineStr">
        <is>
          <t>测试修调码 61: 频率=2265900.000 Hz, 周期=0.441 us, 与目标周期误差=30.076 us</t>
        </is>
      </c>
    </row>
    <row r="531">
      <c r="A531" s="0" t="inlineStr">
        <is>
          <t>📝 原始测量值(CH1): 频率=2197300.000 Hz, 占空比=36.914 %, 周期=0.455 us</t>
        </is>
      </c>
    </row>
    <row r="532">
      <c r="A532" s="0" t="inlineStr">
        <is>
          <t>测试修调码 62: 频率=2197300.000 Hz, 周期=0.455 us, 与目标周期误差=30.062 us</t>
        </is>
      </c>
    </row>
    <row r="533">
      <c r="A533" s="0" t="inlineStr">
        <is>
          <t>📝 原始测量值(CH1): 频率=2709500.000 Hz, 占空比=85.260 %, 周期=0.369 us</t>
        </is>
      </c>
    </row>
    <row r="534">
      <c r="A534" s="0" t="inlineStr">
        <is>
          <t>测试修调码 63: 频率=2709500.000 Hz, 周期=0.369 us, 与目标周期误差=30.149 us</t>
        </is>
      </c>
    </row>
    <row r="535">
      <c r="A535" s="0" t="inlineStr">
        <is>
          <t>📝 原始测量值(CH1): 频率=18980100.000 Hz, 占空比=15.644 %, 周期=0.053 us</t>
        </is>
      </c>
    </row>
    <row r="536">
      <c r="A536" s="0" t="inlineStr">
        <is>
          <t>测试修调码 64: 频率=18980100.000 Hz, 周期=0.053 us, 与目标周期误差=30.465 us</t>
        </is>
      </c>
    </row>
    <row r="537">
      <c r="A537" s="0" t="inlineStr">
        <is>
          <t>📝 原始测量值(CH1): 频率=14008600.000 Hz, 占空比=31.753 %, 周期=0.071 us</t>
        </is>
      </c>
    </row>
    <row r="538">
      <c r="A538" s="0" t="inlineStr">
        <is>
          <t>测试修调码 65: 频率=14008600.000 Hz, 周期=0.071 us, 与目标周期误差=30.446 us</t>
        </is>
      </c>
    </row>
    <row r="539">
      <c r="A539" s="0" t="inlineStr">
        <is>
          <t>📝 原始测量值(CH1): 频率=60547.300 Hz, 占空比=13.853 %, 周期=16.516 us</t>
        </is>
      </c>
    </row>
    <row r="540">
      <c r="A540" s="0" t="inlineStr">
        <is>
          <t>测试修调码 66: 频率=60547.300 Hz, 周期=16.516 us, 与目标周期误差=14.002 us</t>
        </is>
      </c>
    </row>
    <row r="541">
      <c r="A541" s="0" t="inlineStr">
        <is>
          <t>📝 原始测量值(CH1): 频率=2340600.000 Hz, 占空比=82.452 %, 周期=0.427 us</t>
        </is>
      </c>
    </row>
    <row r="542">
      <c r="A542" s="0" t="inlineStr">
        <is>
          <t>最终OSC33K频率: 2340600.000 Hz, 周期: 0.427 us</t>
        </is>
      </c>
    </row>
    <row r="543">
      <c r="A543" s="0" t="inlineStr">
        <is>
          <t>保存TRIM值到Excel失败: [Errno 13] Permission denied: 'd:\\work_test\\bench_python_code\\chips\\ocd2810\\..\\..\\Save_Results\\ocd2810\\trim_best_value.xlsx'</t>
        </is>
      </c>
    </row>
    <row r="544">
      <c r="A544" s="0" t="inlineStr">
        <is>
          <t>测试目标频率为type_val=32768.0 Hz, 目标周期为30.518 us</t>
        </is>
      </c>
    </row>
    <row r="545">
      <c r="A545" s="0" t="inlineStr">
        <is>
          <t>📝 原始测量值(CH1): 频率=33305.500 Hz, 占空比=93.525 %, 周期=30.025 us</t>
        </is>
      </c>
    </row>
    <row r="546">
      <c r="A546" s="0" t="inlineStr">
        <is>
          <t>OSC33K频率A: 33305.500 Hz, 周期: 30.025 us</t>
        </is>
      </c>
    </row>
    <row r="547">
      <c r="A547" s="0" t="inlineStr">
        <is>
          <t>📝 原始测量值(CH1): 频率=7142900.000 Hz, 占空比=6.857 %, 周期=0.140 us</t>
        </is>
      </c>
    </row>
    <row r="548">
      <c r="A548" s="0" t="inlineStr">
        <is>
          <t>OSC33K频率B: 7142900.000 Hz, 周期: 0.140 us</t>
        </is>
      </c>
    </row>
    <row r="549">
      <c r="A549" s="0" t="inlineStr">
        <is>
          <t>OSC33K修调码计算结果: 63.98, 四舍五入取整: 64, 搜索范围: 60 ~ 69</t>
        </is>
      </c>
    </row>
    <row r="550">
      <c r="A550" s="0" t="inlineStr">
        <is>
          <t>📝 原始测量值(CH1): 频率=25616.500 Hz, 占空比=76.100 %, 周期=39.037 us</t>
        </is>
      </c>
    </row>
    <row r="551">
      <c r="A551" s="0" t="inlineStr">
        <is>
          <t>测试修调码 60: 频率=25616.500 Hz, 周期=39.037 us, 与目标周期误差=8.520 us</t>
        </is>
      </c>
    </row>
    <row r="552">
      <c r="A552" s="0" t="inlineStr">
        <is>
          <t>📝 原始测量值(CH1): 频率=2435100.000 Hz, 占空比=85.714 %, 周期=0.411 us</t>
        </is>
      </c>
    </row>
    <row r="553">
      <c r="A553" s="0" t="inlineStr">
        <is>
          <t>测试修调码 61: 频率=2435100.000 Hz, 周期=0.411 us, 与目标周期误差=30.107 us</t>
        </is>
      </c>
    </row>
    <row r="554">
      <c r="A554" s="0" t="inlineStr">
        <is>
          <t>📝 原始测量值(CH1): 频率=5868500.000 Hz, 占空比=39.906 %, 周期=0.170 us</t>
        </is>
      </c>
    </row>
    <row r="555">
      <c r="A555" s="0" t="inlineStr">
        <is>
          <t>测试修调码 62: 频率=5868500.000 Hz, 周期=0.170 us, 与目标周期误差=30.347 us</t>
        </is>
      </c>
    </row>
    <row r="556">
      <c r="A556" s="0" t="inlineStr">
        <is>
          <t>📝 原始测量值(CH1): 频率=1893900.000 Hz, 占空比=67.677 %, 周期=0.528 us</t>
        </is>
      </c>
    </row>
    <row r="557">
      <c r="A557" s="0" t="inlineStr">
        <is>
          <t>测试修调码 63: 频率=1893900.000 Hz, 周期=0.528 us, 与目标周期误差=29.990 us</t>
        </is>
      </c>
    </row>
    <row r="558">
      <c r="A558" s="0" t="inlineStr">
        <is>
          <t>📝 原始测量值(CH1): 频率=34346.100 Hz, 占空比=4.774 %, 周期=29.115 us</t>
        </is>
      </c>
    </row>
    <row r="559">
      <c r="A559" s="0" t="inlineStr">
        <is>
          <t>测试修调码 64: 频率=34346.100 Hz, 周期=29.115 us, 与目标周期误差=1.402 us</t>
        </is>
      </c>
    </row>
    <row r="560">
      <c r="A560" s="0" t="inlineStr">
        <is>
          <t>📝 原始测量值(CH1): 频率=6181300.000 Hz, 占空比=92.308 %, 周期=0.162 us</t>
        </is>
      </c>
    </row>
    <row r="561">
      <c r="A561" s="0" t="inlineStr">
        <is>
          <t>测试修调码 65: 频率=6181300.000 Hz, 周期=0.162 us, 与目标周期误差=30.356 us</t>
        </is>
      </c>
    </row>
    <row r="562">
      <c r="A562" s="0" t="inlineStr">
        <is>
          <t>📝 原始测量值(CH1): 频率=2327100.000 Hz, 占空比=10.638 %, 周期=0.430 us</t>
        </is>
      </c>
    </row>
    <row r="563">
      <c r="A563" s="0" t="inlineStr">
        <is>
          <t>测试修调码 66: 频率=2327100.000 Hz, 周期=0.430 us, 与目标周期误差=30.088 us</t>
        </is>
      </c>
    </row>
    <row r="564">
      <c r="A564" s="0" t="inlineStr">
        <is>
          <t>📝 原始测量值(CH1): 频率=7031300.000 Hz, 占空比=76.000 %, 周期=0.142 us</t>
        </is>
      </c>
    </row>
    <row r="565">
      <c r="A565" s="0" t="inlineStr">
        <is>
          <t>测试修调码 67: 频率=7031300.000 Hz, 周期=0.142 us, 与目标周期误差=30.375 us</t>
        </is>
      </c>
    </row>
    <row r="566">
      <c r="A566" s="0" t="inlineStr">
        <is>
          <t>📝 原始测量值(CH1): 频率=8443000.000 Hz, 占空比=50.604 %, 周期=0.118 us</t>
        </is>
      </c>
    </row>
    <row r="567">
      <c r="A567" s="0" t="inlineStr">
        <is>
          <t>测试修调码 68: 频率=8443000.000 Hz, 周期=0.118 us, 与目标周期误差=30.399 us</t>
        </is>
      </c>
    </row>
    <row r="568">
      <c r="A568" s="0" t="inlineStr">
        <is>
          <t>📝 原始测量值(CH1): 频率=2430600.000 Hz, 占空比=26.889 %, 周期=0.411 us</t>
        </is>
      </c>
    </row>
    <row r="569">
      <c r="A569" s="0" t="inlineStr">
        <is>
          <t>测试修调码 69: 频率=2430600.000 Hz, 周期=0.411 us, 与目标周期误差=30.106 us</t>
        </is>
      </c>
    </row>
    <row r="570">
      <c r="A570" s="0" t="inlineStr">
        <is>
          <t>📝 原始测量值(CH1): 频率=2245500.000 Hz, 占空比=68.178 %, 周期=0.445 us</t>
        </is>
      </c>
    </row>
    <row r="571">
      <c r="A571" s="0" t="inlineStr">
        <is>
          <t>最终OSC33K频率: 2245500.000 Hz, 周期: 0.445 us</t>
        </is>
      </c>
    </row>
  </sheetData>
  <mergeCells count="1">
    <mergeCell ref="A1:XF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FD218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  <row r="2">
      <c r="A2" s="0" t="inlineStr">
        <is>
          <t>将ADC模块输出线接入VCC_S引脚, 万用表表笔接入P20引脚, 按下enter键继续...</t>
        </is>
      </c>
    </row>
    <row r="3">
      <c r="A3" s="0" t="inlineStr">
        <is>
          <t>TRIM= 0 | 测量=-65.46mV | 真实=1026.22mV | 误差=183.78mV</t>
        </is>
      </c>
    </row>
    <row r="4">
      <c r="A4" s="0" t="inlineStr">
        <is>
          <t>TRIM= 1 | 测量=150.33mV | 真实=1242.01mV | 误差=32.01mV</t>
        </is>
      </c>
    </row>
    <row r="5">
      <c r="A5" s="0" t="inlineStr">
        <is>
          <t>TRIM= 2 | 测量=-36.46mV | 真实=1055.23mV | 误差=154.77mV</t>
        </is>
      </c>
    </row>
    <row r="6">
      <c r="A6" s="0" t="inlineStr">
        <is>
          <t>TRIM= 3 | 测量= -1.45mV | 真实=1090.24mV | 误差=119.76mV</t>
        </is>
      </c>
    </row>
    <row r="7">
      <c r="A7" s="0" t="inlineStr">
        <is>
          <t>TRIM= 4 | 测量=140.58mV | 真实=1232.27mV | 误差=22.27mV</t>
        </is>
      </c>
    </row>
    <row r="8">
      <c r="A8" s="0" t="inlineStr">
        <is>
          <t>TRIM= 5 | 测量=-79.11mV | 真实=1012.57mV | 误差=197.43mV</t>
        </is>
      </c>
    </row>
    <row r="9">
      <c r="A9" s="0" t="inlineStr">
        <is>
          <t>TRIM= 6 | 测量=101.78mV | 真实=1193.47mV | 误差=16.53mV</t>
        </is>
      </c>
    </row>
    <row r="10">
      <c r="A10" s="0" t="inlineStr">
        <is>
          <t>TRIM= 7 | 测量= 43.75mV | 真实=1135.43mV | 误差=74.57mV</t>
        </is>
      </c>
    </row>
    <row r="11">
      <c r="A11" s="0" t="inlineStr">
        <is>
          <t>TRIM= 0 | 测量=-153.20mV | 真实=917.75mV | 误差=292.25mV</t>
        </is>
      </c>
    </row>
    <row r="12">
      <c r="A12" s="0" t="inlineStr">
        <is>
          <t>TRIM= 1 | 测量=149.87mV | 真实=1220.82mV | 误差=10.82mV</t>
        </is>
      </c>
    </row>
    <row r="13">
      <c r="A13" s="0" t="inlineStr">
        <is>
          <t>TRIM= 2 | 测量=-27.39mV | 真实=1043.56mV | 误差=166.44mV</t>
        </is>
      </c>
    </row>
    <row r="14">
      <c r="A14" s="0" t="inlineStr">
        <is>
          <t>TRIM= 3 | 测量=-94.04mV | 真实=976.91mV | 误差=233.09mV</t>
        </is>
      </c>
    </row>
    <row r="15">
      <c r="A15" s="0" t="inlineStr">
        <is>
          <t>TRIM= 4 | 测量=140.56mV | 真实=1211.50mV | 误差= 1.50mV</t>
        </is>
      </c>
    </row>
    <row r="16">
      <c r="A16" s="0" t="inlineStr">
        <is>
          <t>TRIM= 5 | 测量=-117.96mV | 真实=952.99mV | 误差=257.01mV</t>
        </is>
      </c>
    </row>
    <row r="17">
      <c r="A17" s="0" t="inlineStr">
        <is>
          <t>TRIM= 6 | 测量= 13.58mV | 真实=1084.53mV | 误差=125.47mV</t>
        </is>
      </c>
    </row>
    <row r="18">
      <c r="A18" s="0" t="inlineStr">
        <is>
          <t>TRIM= 7 | 测量= 69.99mV | 真实=1140.94mV | 误差=69.06mV</t>
        </is>
      </c>
    </row>
    <row r="19">
      <c r="A19" s="0" t="inlineStr">
        <is>
          <t>TRIM= 0 | 测量= 48.71mV | 真实=1284.24mV | 误差=74.24mV</t>
        </is>
      </c>
    </row>
    <row r="20">
      <c r="A20" s="0" t="inlineStr">
        <is>
          <t>TRIM= 1 | 测量=-122.46mV | 真实=1113.07mV | 误差=96.93mV</t>
        </is>
      </c>
    </row>
    <row r="21">
      <c r="A21" s="0" t="inlineStr">
        <is>
          <t>TRIM= 2 | 测量=144.00mV | 真实=1379.53mV | 误差=169.53mV</t>
        </is>
      </c>
    </row>
    <row r="22">
      <c r="A22" s="0" t="inlineStr">
        <is>
          <t>TRIM= 3 | 测量=-80.75mV | 真实=1154.78mV | 误差=55.22mV</t>
        </is>
      </c>
    </row>
    <row r="23">
      <c r="A23" s="0" t="inlineStr">
        <is>
          <t>TRIM= 4 | 测量=-14.63mV | 真实=1220.90mV | 误差=10.90mV</t>
        </is>
      </c>
    </row>
    <row r="24">
      <c r="A24" s="0" t="inlineStr">
        <is>
          <t>TRIM= 5 | 测量= 83.61mV | 真实=1319.15mV | 误差=109.15mV</t>
        </is>
      </c>
    </row>
    <row r="25">
      <c r="A25" s="0" t="inlineStr">
        <is>
          <t>TRIM= 6 | 测量=-147.93mV | 真实=1087.60mV | 误差=122.40mV</t>
        </is>
      </c>
    </row>
    <row r="26">
      <c r="A26" s="0" t="inlineStr">
        <is>
          <t>TRIM= 7 | 测量=112.64mV | 真实=1348.17mV | 误差=138.17mV</t>
        </is>
      </c>
    </row>
    <row r="27">
      <c r="A27" s="0" t="inlineStr">
        <is>
          <t>TRIM= 0 | 测量= 92.33mV | 真实=1363.74mV | 误差=153.74mV</t>
        </is>
      </c>
    </row>
    <row r="28">
      <c r="A28" s="0" t="inlineStr">
        <is>
          <t>TRIM= 1 | 测量=-147.84mV | 真实=1123.57mV | 误差=86.43mV</t>
        </is>
      </c>
    </row>
    <row r="29">
      <c r="A29" s="0" t="inlineStr">
        <is>
          <t>TRIM= 2 | 测量=147.01mV | 真实=1418.43mV | 误差=208.43mV</t>
        </is>
      </c>
    </row>
    <row r="30">
      <c r="A30" s="0" t="inlineStr">
        <is>
          <t>TRIM= 3 | 测量=-51.43mV | 真实=1219.98mV | 误差= 9.98mV</t>
        </is>
      </c>
    </row>
    <row r="31">
      <c r="A31" s="0" t="inlineStr">
        <is>
          <t>TRIM= 4 | 测量=-72.53mV | 真实=1198.88mV | 误差=11.12mV</t>
        </is>
      </c>
    </row>
    <row r="32">
      <c r="A32" s="0" t="inlineStr">
        <is>
          <t>TRIM= 5 | 测量=113.94mV | 真实=1385.35mV | 误差=175.35mV</t>
        </is>
      </c>
    </row>
    <row r="33">
      <c r="A33" s="0" t="inlineStr">
        <is>
          <t>TRIM= 6 | 测量=-126.13mV | 真实=1145.28mV | 误差=64.72mV</t>
        </is>
      </c>
    </row>
    <row r="34">
      <c r="A34" s="0" t="inlineStr">
        <is>
          <t>TRIM= 7 | 测量= 48.52mV | 真实=1319.93mV | 误差=109.93mV</t>
        </is>
      </c>
    </row>
    <row r="35">
      <c r="A35" s="0" t="inlineStr">
        <is>
          <t>TRIM= 0 | 测量=-145.07mV | 真实=905.95mV | 误差=304.05mV</t>
        </is>
      </c>
    </row>
    <row r="36">
      <c r="A36" s="0" t="inlineStr">
        <is>
          <t>TRIM= 1 | 测量=155.39mV | 真实=1206.41mV | 误差= 3.59mV</t>
        </is>
      </c>
    </row>
    <row r="37">
      <c r="A37" s="0" t="inlineStr">
        <is>
          <t>TRIM= 2 | 测量=-145.52mV | 真实=905.50mV | 误差=304.50mV</t>
        </is>
      </c>
    </row>
    <row r="38">
      <c r="A38" s="0" t="inlineStr">
        <is>
          <t>TRIM= 3 | 测量=138.61mV | 真实=1189.63mV | 误差=20.37mV</t>
        </is>
      </c>
    </row>
    <row r="39">
      <c r="A39" s="0" t="inlineStr">
        <is>
          <t>TRIM= 4 | 测量=-92.63mV | 真实=958.39mV | 误差=251.61mV</t>
        </is>
      </c>
    </row>
    <row r="40">
      <c r="A40" s="0" t="inlineStr">
        <is>
          <t>TRIM= 5 | 测量=147.23mV | 真实=1198.24mV | 误差=11.76mV</t>
        </is>
      </c>
    </row>
    <row r="41">
      <c r="A41" s="0" t="inlineStr">
        <is>
          <t>TRIM= 6 | 测量=144.68mV | 真实=1195.69mV | 误差=14.31mV</t>
        </is>
      </c>
    </row>
    <row r="42">
      <c r="A42" s="0" t="inlineStr">
        <is>
          <t>TRIM= 7 | 测量=-151.30mV | 真实=899.71mV | 误差=310.29mV</t>
        </is>
      </c>
    </row>
    <row r="43">
      <c r="A43" s="0" t="inlineStr">
        <is>
          <t>TRIM= 0 | 测量=-137.94mV | 真实=913.38mV | 误差=296.62mV</t>
        </is>
      </c>
    </row>
    <row r="44">
      <c r="A44" s="0" t="inlineStr">
        <is>
          <t>TRIM= 1 | 测量=113.70mV | 真实=1165.02mV | 误差=44.98mV</t>
        </is>
      </c>
    </row>
    <row r="45">
      <c r="A45" s="0" t="inlineStr">
        <is>
          <t>TRIM= 2 | 测量=-148.33mV | 真实=902.99mV | 误差=307.01mV</t>
        </is>
      </c>
    </row>
    <row r="46">
      <c r="A46" s="0" t="inlineStr">
        <is>
          <t>TRIM= 3 | 测量=128.82mV | 真实=1180.14mV | 误差=29.86mV</t>
        </is>
      </c>
    </row>
    <row r="47">
      <c r="A47" s="0" t="inlineStr">
        <is>
          <t>TRIM= 4 | 测量=-157.16mV | 真实=894.16mV | 误差=315.84mV</t>
        </is>
      </c>
    </row>
    <row r="48">
      <c r="A48" s="0" t="inlineStr">
        <is>
          <t>TRIM= 5 | 测量=129.78mV | 真实=1181.10mV | 误差=28.90mV</t>
        </is>
      </c>
    </row>
    <row r="49">
      <c r="A49" s="0" t="inlineStr">
        <is>
          <t>TRIM= 6 | 测量=-147.85mV | 真实=903.47mV | 误差=306.53mV</t>
        </is>
      </c>
    </row>
    <row r="50">
      <c r="A50" s="0" t="inlineStr">
        <is>
          <t>TRIM= 7 | 测量=142.12mV | 真实=1193.44mV | 误差=16.56mV</t>
        </is>
      </c>
    </row>
    <row r="51">
      <c r="A51" s="0" t="inlineStr">
        <is>
          <t>TRIM= 0 | 测量=-116.95mV | 真实=1067.36mV | 误差=142.64mV</t>
        </is>
      </c>
    </row>
    <row r="52">
      <c r="A52" s="0" t="inlineStr">
        <is>
          <t>TRIM= 1 | 测量= 90.59mV | 真实=1274.90mV | 误差=64.90mV</t>
        </is>
      </c>
    </row>
    <row r="53">
      <c r="A53" s="0" t="inlineStr">
        <is>
          <t>TRIM= 2 | 测量=-68.13mV | 真实=1116.18mV | 误差=93.82mV</t>
        </is>
      </c>
    </row>
    <row r="54">
      <c r="A54" s="0" t="inlineStr">
        <is>
          <t>TRIM= 3 | 测量= 79.32mV | 真实=1263.62mV | 误差=53.62mV</t>
        </is>
      </c>
    </row>
    <row r="55">
      <c r="A55" s="0" t="inlineStr">
        <is>
          <t>TRIM= 4 | 测量=-92.81mV | 真实=1091.49mV | 误差=118.51mV</t>
        </is>
      </c>
    </row>
    <row r="56">
      <c r="A56" s="0" t="inlineStr">
        <is>
          <t>TRIM= 5 | 测量=101.29mV | 真实=1285.59mV | 误差=75.59mV</t>
        </is>
      </c>
    </row>
    <row r="57">
      <c r="A57" s="0" t="inlineStr">
        <is>
          <t>TRIM= 6 | 测量=-32.94mV | 真实=1151.37mV | 误差=58.63mV</t>
        </is>
      </c>
    </row>
    <row r="58">
      <c r="A58" s="0" t="inlineStr">
        <is>
          <t>TRIM= 7 | 测量= 88.33mV | 真实=1272.64mV | 误差=62.64mV</t>
        </is>
      </c>
    </row>
    <row r="59">
      <c r="A59" s="0" t="inlineStr">
        <is>
          <t>TRIM= 0 | 测量=-102.26mV | 真实=999.52mV | 误差=210.48mV</t>
        </is>
      </c>
    </row>
    <row r="60">
      <c r="A60" s="0" t="inlineStr">
        <is>
          <t>TRIM= 1 | 测量=130.29mV | 真实=1232.08mV | 误差=22.08mV</t>
        </is>
      </c>
    </row>
    <row r="61">
      <c r="A61" s="0" t="inlineStr">
        <is>
          <t>TRIM= 2 | 测量=-159.90mV | 真实=941.88mV | 误差=268.12mV</t>
        </is>
      </c>
    </row>
    <row r="62">
      <c r="A62" s="0" t="inlineStr">
        <is>
          <t>TRIM= 3 | 测量=124.77mV | 真实=1226.56mV | 误差=16.56mV</t>
        </is>
      </c>
    </row>
    <row r="63">
      <c r="A63" s="0" t="inlineStr">
        <is>
          <t>TRIM= 4 | 测量=-94.67mV | 真实=1007.11mV | 误差=202.89mV</t>
        </is>
      </c>
    </row>
    <row r="64">
      <c r="A64" s="0" t="inlineStr">
        <is>
          <t>TRIM= 5 | 测量= 27.64mV | 真实=1129.42mV | 误差=80.58mV</t>
        </is>
      </c>
    </row>
    <row r="65">
      <c r="A65" s="0" t="inlineStr">
        <is>
          <t>TRIM= 6 | 测量= 42.78mV | 真实=1144.56mV | 误差=65.44mV</t>
        </is>
      </c>
    </row>
    <row r="66">
      <c r="A66" s="0" t="inlineStr">
        <is>
          <t>TRIM= 7 | 测量=-75.66mV | 真实=1026.13mV | 误差=183.87mV</t>
        </is>
      </c>
    </row>
    <row r="67">
      <c r="A67" s="0" t="inlineStr">
        <is>
          <t>TRIM= 0 | 测量=106.40mV | 真实=1179.05mV | 误差=30.95mV</t>
        </is>
      </c>
    </row>
    <row r="68">
      <c r="A68" s="0" t="inlineStr">
        <is>
          <t>TRIM= 1 | 测量=126.39mV | 真实=1199.05mV | 误差=10.95mV</t>
        </is>
      </c>
    </row>
    <row r="69">
      <c r="A69" s="0" t="inlineStr">
        <is>
          <t>TRIM= 2 | 测量= 96.10mV | 真实=1168.76mV | 误差=41.24mV</t>
        </is>
      </c>
    </row>
    <row r="70">
      <c r="A70" s="0" t="inlineStr">
        <is>
          <t>TRIM= 3 | 测量=108.90mV | 真实=1181.56mV | 误差=28.44mV</t>
        </is>
      </c>
    </row>
    <row r="71">
      <c r="A71" s="0" t="inlineStr">
        <is>
          <t>TRIM= 4 | 测量=110.35mV | 真实=1183.01mV | 误差=26.99mV</t>
        </is>
      </c>
    </row>
    <row r="72">
      <c r="A72" s="0" t="inlineStr">
        <is>
          <t>TRIM= 5 | 测量= 82.43mV | 真实=1155.09mV | 误差=54.91mV</t>
        </is>
      </c>
    </row>
    <row r="73">
      <c r="A73" s="0" t="inlineStr">
        <is>
          <t>TRIM= 6 | 测量=112.09mV | 真实=1184.75mV | 误差=25.25mV</t>
        </is>
      </c>
    </row>
    <row r="74">
      <c r="A74" s="0" t="inlineStr">
        <is>
          <t>TRIM= 7 | 测量= 77.43mV | 真实=1150.09mV | 误差=59.91mV</t>
        </is>
      </c>
    </row>
    <row r="75">
      <c r="A75" s="0" t="inlineStr">
        <is>
          <t>TRIM= 0 | 测量=149.42mV | 真实=1211.17mV | 误差= 1.17mV</t>
        </is>
      </c>
    </row>
    <row r="76">
      <c r="A76" s="0" t="inlineStr">
        <is>
          <t>TRIM= 1 | 测量=138.87mV | 真实=1200.62mV | 误差= 9.38mV</t>
        </is>
      </c>
    </row>
    <row r="77">
      <c r="A77" s="0" t="inlineStr">
        <is>
          <t>TRIM= 2 | 测量=137.68mV | 真实=1199.43mV | 误差=10.57mV</t>
        </is>
      </c>
    </row>
    <row r="78">
      <c r="A78" s="0" t="inlineStr">
        <is>
          <t>TRIM= 3 | 测量=143.79mV | 真实=1205.54mV | 误差= 4.46mV</t>
        </is>
      </c>
    </row>
    <row r="79">
      <c r="A79" s="0" t="inlineStr">
        <is>
          <t>TRIM= 4 | 测量=109.82mV | 真实=1171.57mV | 误差=38.43mV</t>
        </is>
      </c>
    </row>
    <row r="80">
      <c r="A80" s="0" t="inlineStr">
        <is>
          <t>TRIM= 5 | 测量=142.12mV | 真实=1203.87mV | 误差= 6.13mV</t>
        </is>
      </c>
    </row>
    <row r="81">
      <c r="A81" s="0" t="inlineStr">
        <is>
          <t>TRIM= 6 | 测量=108.21mV | 真实=1169.97mV | 误差=40.03mV</t>
        </is>
      </c>
    </row>
    <row r="82">
      <c r="A82" s="0" t="inlineStr">
        <is>
          <t>TRIM= 7 | 测量=133.19mV | 真实=1194.94mV | 误差=15.06mV</t>
        </is>
      </c>
    </row>
    <row r="83">
      <c r="A83" s="0" t="inlineStr">
        <is>
          <t>TRIM= 0 | 测量=223.91mV | 真实=1163.95mV | 误差=46.05mV</t>
        </is>
      </c>
    </row>
    <row r="84">
      <c r="A84" s="0" t="inlineStr">
        <is>
          <t>TRIM= 1 | 测量=244.75mV | 真实=1184.78mV | 误差=25.22mV</t>
        </is>
      </c>
    </row>
    <row r="85">
      <c r="A85" s="0" t="inlineStr">
        <is>
          <t>TRIM= 2 | 测量=212.50mV | 真实=1152.53mV | 误差=57.47mV</t>
        </is>
      </c>
    </row>
    <row r="86">
      <c r="A86" s="0" t="inlineStr">
        <is>
          <t>TRIM= 3 | 测量=223.94mV | 真实=1163.97mV | 误差=46.03mV</t>
        </is>
      </c>
    </row>
    <row r="87">
      <c r="A87" s="0" t="inlineStr">
        <is>
          <t>TRIM= 4 | 测量=202.50mV | 真实=1142.54mV | 误差=67.46mV</t>
        </is>
      </c>
    </row>
    <row r="88">
      <c r="A88" s="0" t="inlineStr">
        <is>
          <t>TRIM= 5 | 测量=207.86mV | 真实=1147.89mV | 误差=62.11mV</t>
        </is>
      </c>
    </row>
    <row r="89">
      <c r="A89" s="0" t="inlineStr">
        <is>
          <t>TRIM= 6 | 测量=207.54mV | 真实=1147.58mV | 误差=62.42mV</t>
        </is>
      </c>
    </row>
    <row r="90">
      <c r="A90" s="0" t="inlineStr">
        <is>
          <t>TRIM= 7 | 测量=184.76mV | 真实=1124.79mV | 误差=85.21mV</t>
        </is>
      </c>
    </row>
    <row r="91">
      <c r="A91" s="0" t="inlineStr">
        <is>
          <t>TRIM= 0 | 测量=247.82mV | 真实=1211.46mV | 误差= 1.46mV</t>
        </is>
      </c>
    </row>
    <row r="92">
      <c r="A92" s="0" t="inlineStr">
        <is>
          <t>TRIM= 1 | 测量=221.80mV | 真实=1185.44mV | 误差=24.56mV</t>
        </is>
      </c>
    </row>
    <row r="93">
      <c r="A93" s="0" t="inlineStr">
        <is>
          <t>TRIM= 2 | 测量=238.52mV | 真实=1202.16mV | 误差= 7.84mV</t>
        </is>
      </c>
    </row>
    <row r="94">
      <c r="A94" s="0" t="inlineStr">
        <is>
          <t>TRIM= 3 | 测量=204.65mV | 真实=1168.29mV | 误差=41.71mV</t>
        </is>
      </c>
    </row>
    <row r="95">
      <c r="A95" s="0" t="inlineStr">
        <is>
          <t>TRIM= 4 | 测量=221.78mV | 真实=1185.43mV | 误差=24.57mV</t>
        </is>
      </c>
    </row>
    <row r="96">
      <c r="A96" s="0" t="inlineStr">
        <is>
          <t>TRIM= 5 | 测量=199.91mV | 真实=1163.55mV | 误差=46.45mV</t>
        </is>
      </c>
    </row>
    <row r="97">
      <c r="A97" s="0" t="inlineStr">
        <is>
          <t>TRIM= 6 | 测量=208.52mV | 真实=1172.16mV | 误差=37.84mV</t>
        </is>
      </c>
    </row>
    <row r="98">
      <c r="A98" s="0" t="inlineStr">
        <is>
          <t>TRIM= 7 | 测量=199.60mV | 真实=1163.24mV | 误差=46.76mV</t>
        </is>
      </c>
    </row>
    <row r="99">
      <c r="A99" s="0" t="inlineStr">
        <is>
          <t>TRIM= 0 | 测量=182.03mV | 真实=1167.38mV | 误差=42.62mV</t>
        </is>
      </c>
    </row>
    <row r="100">
      <c r="A100" s="0" t="inlineStr">
        <is>
          <t>TRIM= 1 | 测量=198.15mV | 真实=1183.50mV | 误差=26.50mV</t>
        </is>
      </c>
    </row>
    <row r="101">
      <c r="A101" s="0" t="inlineStr">
        <is>
          <t>TRIM= 2 | 测量=168.46mV | 真实=1153.81mV | 误差=56.19mV</t>
        </is>
      </c>
    </row>
    <row r="102">
      <c r="A102" s="0" t="inlineStr">
        <is>
          <t>TRIM= 3 | 测量=186.92mV | 真实=1172.28mV | 误差=37.72mV</t>
        </is>
      </c>
    </row>
    <row r="103">
      <c r="A103" s="0" t="inlineStr">
        <is>
          <t>TRIM= 4 | 测量=160.66mV | 真实=1146.01mV | 误差=63.99mV</t>
        </is>
      </c>
    </row>
    <row r="104">
      <c r="A104" s="0" t="inlineStr">
        <is>
          <t>TRIM= 5 | 测量=177.81mV | 真实=1163.16mV | 误差=46.84mV</t>
        </is>
      </c>
    </row>
    <row r="105">
      <c r="A105" s="0" t="inlineStr">
        <is>
          <t>TRIM= 6 | 测量=146.09mV | 真实=1131.44mV | 误差=78.56mV</t>
        </is>
      </c>
    </row>
    <row r="106">
      <c r="A106" s="0" t="inlineStr">
        <is>
          <t>TRIM= 7 | 测量=165.65mV | 真实=1151.01mV | 误差=58.99mV</t>
        </is>
      </c>
    </row>
    <row r="107">
      <c r="A107" s="0" t="inlineStr">
        <is>
          <t>TRIM= 0 | 测量=205.71mV | 真实=1209.87mV | 误差= 0.13mV</t>
        </is>
      </c>
    </row>
    <row r="108">
      <c r="A108" s="0" t="inlineStr">
        <is>
          <t>TRIM= 1 | 测量=173.50mV | 真实=1177.66mV | 误差=32.34mV</t>
        </is>
      </c>
    </row>
    <row r="109">
      <c r="A109" s="0" t="inlineStr">
        <is>
          <t>TRIM= 2 | 测量=195.45mV | 真实=1199.61mV | 误差=10.39mV</t>
        </is>
      </c>
    </row>
    <row r="110">
      <c r="A110" s="0" t="inlineStr">
        <is>
          <t>TRIM= 3 | 测量=161.01mV | 真实=1165.17mV | 误差=44.83mV</t>
        </is>
      </c>
    </row>
    <row r="111">
      <c r="A111" s="0" t="inlineStr">
        <is>
          <t>TRIM= 4 | 测量=177.88mV | 真实=1182.04mV | 误差=27.96mV</t>
        </is>
      </c>
    </row>
    <row r="112">
      <c r="A112" s="0" t="inlineStr">
        <is>
          <t>TRIM= 5 | 测量=158.88mV | 真实=1163.04mV | 误差=46.96mV</t>
        </is>
      </c>
    </row>
    <row r="113">
      <c r="A113" s="0" t="inlineStr">
        <is>
          <t>TRIM= 6 | 测量=155.61mV | 真实=1159.78mV | 误差=50.22mV</t>
        </is>
      </c>
    </row>
    <row r="114">
      <c r="A114" s="0" t="inlineStr">
        <is>
          <t>TRIM= 7 | 测量=154.61mV | 真实=1158.78mV | 误差=51.22mV</t>
        </is>
      </c>
    </row>
    <row r="115">
      <c r="A115" s="0" t="inlineStr">
        <is>
          <t>TRIM= 0 | 测量=3299.54mV | 真实=1199.99mV | 误差=10.01mV</t>
        </is>
      </c>
    </row>
    <row r="116">
      <c r="A116" s="0" t="inlineStr">
        <is>
          <t>TRIM= 1 | 测量=3299.62mV | 真实=1200.08mV | 误差= 9.92mV</t>
        </is>
      </c>
    </row>
    <row r="117">
      <c r="A117" s="0" t="inlineStr">
        <is>
          <t>TRIM= 2 | 测量=3299.60mV | 真实=1200.06mV | 误差= 9.94mV</t>
        </is>
      </c>
    </row>
    <row r="118">
      <c r="A118" s="0" t="inlineStr">
        <is>
          <t>TRIM= 3 | 测量=3299.54mV | 真实=1199.99mV | 误差=10.01mV</t>
        </is>
      </c>
    </row>
    <row r="119">
      <c r="A119" s="0" t="inlineStr">
        <is>
          <t>TRIM= 4 | 测量=3299.54mV | 真实=1199.99mV | 误差=10.01mV</t>
        </is>
      </c>
    </row>
    <row r="120">
      <c r="A120" s="0" t="inlineStr">
        <is>
          <t>TRIM= 5 | 测量=3299.56mV | 真实=1200.02mV | 误差= 9.98mV</t>
        </is>
      </c>
    </row>
    <row r="121">
      <c r="A121" s="0" t="inlineStr">
        <is>
          <t>TRIM= 6 | 测量=3299.55mV | 真实=1200.00mV | 误差=10.00mV</t>
        </is>
      </c>
    </row>
    <row r="122">
      <c r="A122" s="0" t="inlineStr">
        <is>
          <t>TRIM= 7 | 测量=3299.58mV | 真实=1200.03mV | 误差= 9.97mV</t>
        </is>
      </c>
    </row>
    <row r="123">
      <c r="A123" s="0" t="inlineStr">
        <is>
          <t>TRIM= 0 | 测量=3299.49mV | 真实=1199.96mV | 误差=10.04mV</t>
        </is>
      </c>
    </row>
    <row r="124">
      <c r="A124" s="0" t="inlineStr">
        <is>
          <t>TRIM= 1 | 测量=3299.55mV | 真实=1200.02mV | 误差= 9.98mV</t>
        </is>
      </c>
    </row>
    <row r="125">
      <c r="A125" s="0" t="inlineStr">
        <is>
          <t>TRIM= 2 | 测量=3299.45mV | 真实=1199.92mV | 误差=10.08mV</t>
        </is>
      </c>
    </row>
    <row r="126">
      <c r="A126" s="0" t="inlineStr">
        <is>
          <t>TRIM= 3 | 测量=3299.58mV | 真实=1200.04mV | 误差= 9.96mV</t>
        </is>
      </c>
    </row>
    <row r="127">
      <c r="A127" s="0" t="inlineStr">
        <is>
          <t>TRIM= 4 | 测量=3299.57mV | 真实=1200.03mV | 误差= 9.97mV</t>
        </is>
      </c>
    </row>
    <row r="128">
      <c r="A128" s="0" t="inlineStr">
        <is>
          <t>TRIM= 5 | 测量=3299.48mV | 真实=1199.94mV | 误差=10.06mV</t>
        </is>
      </c>
    </row>
    <row r="129">
      <c r="A129" s="0" t="inlineStr">
        <is>
          <t>TRIM= 6 | 测量=3299.56mV | 真实=1200.02mV | 误差= 9.98mV</t>
        </is>
      </c>
    </row>
    <row r="130">
      <c r="A130" s="0" t="inlineStr">
        <is>
          <t>TRIM= 7 | 测量=3299.59mV | 真实=1200.06mV | 误差= 9.94mV</t>
        </is>
      </c>
    </row>
    <row r="131">
      <c r="A131" s="0" t="inlineStr">
        <is>
          <t>TRIM= 0 | 测量= 62.98mV | 真实=1210.77mV | 误差= 0.77mV</t>
        </is>
      </c>
    </row>
    <row r="132">
      <c r="A132" s="0" t="inlineStr">
        <is>
          <t>TRIM= 1 | 测量= 44.29mV | 真实=1192.07mV | 误差=17.93mV</t>
        </is>
      </c>
    </row>
    <row r="133">
      <c r="A133" s="0" t="inlineStr">
        <is>
          <t>TRIM= 2 | 测量= 66.37mV | 真实=1214.16mV | 误差= 4.16mV</t>
        </is>
      </c>
    </row>
    <row r="134">
      <c r="A134" s="0" t="inlineStr">
        <is>
          <t>TRIM= 3 | 测量= 35.53mV | 真实=1183.32mV | 误差=26.68mV</t>
        </is>
      </c>
    </row>
    <row r="135">
      <c r="A135" s="0" t="inlineStr">
        <is>
          <t>TRIM= 4 | 测量= 60.65mV | 真实=1208.43mV | 误差= 1.57mV</t>
        </is>
      </c>
    </row>
    <row r="136">
      <c r="A136" s="0" t="inlineStr">
        <is>
          <t>TRIM= 5 | 测量= 44.32mV | 真实=1192.11mV | 误差=17.89mV</t>
        </is>
      </c>
    </row>
    <row r="137">
      <c r="A137" s="0" t="inlineStr">
        <is>
          <t>TRIM= 6 | 测量= 35.46mV | 真实=1183.25mV | 误差=26.75mV</t>
        </is>
      </c>
    </row>
    <row r="138">
      <c r="A138" s="0" t="inlineStr">
        <is>
          <t>TRIM= 7 | 测量= 44.87mV | 真实=1192.65mV | 误差=17.35mV</t>
        </is>
      </c>
    </row>
    <row r="139">
      <c r="A139" s="0" t="inlineStr">
        <is>
          <t>TRIM= 0 | 测量=422.18mV | 真实=1219.67mV | 误差= 9.67mV</t>
        </is>
      </c>
    </row>
    <row r="140">
      <c r="A140" s="0" t="inlineStr">
        <is>
          <t>TRIM= 1 | 测量=397.22mV | 真实=1194.71mV | 误差=15.29mV</t>
        </is>
      </c>
    </row>
    <row r="141">
      <c r="A141" s="0" t="inlineStr">
        <is>
          <t>TRIM= 2 | 测量=409.54mV | 真实=1207.03mV | 误差= 2.97mV</t>
        </is>
      </c>
    </row>
    <row r="142">
      <c r="A142" s="0" t="inlineStr">
        <is>
          <t>TRIM= 3 | 测量=402.35mV | 真实=1199.84mV | 误差=10.16mV</t>
        </is>
      </c>
    </row>
    <row r="143">
      <c r="A143" s="0" t="inlineStr">
        <is>
          <t>TRIM= 4 | 测量=387.25mV | 真实=1184.75mV | 误差=25.25mV</t>
        </is>
      </c>
    </row>
    <row r="144">
      <c r="A144" s="0" t="inlineStr">
        <is>
          <t>TRIM= 5 | 测量=406.43mV | 真实=1203.93mV | 误差= 6.07mV</t>
        </is>
      </c>
    </row>
    <row r="145">
      <c r="A145" s="0" t="inlineStr">
        <is>
          <t>TRIM= 6 | 测量=382.90mV | 真实=1180.40mV | 误差=29.60mV</t>
        </is>
      </c>
    </row>
    <row r="146">
      <c r="A146" s="0" t="inlineStr">
        <is>
          <t>TRIM= 7 | 测量=386.63mV | 真实=1184.13mV | 误差=25.87mV</t>
        </is>
      </c>
    </row>
    <row r="147">
      <c r="A147" s="0" t="inlineStr">
        <is>
          <t>TRIM= 0 | 测量=374.19mV | 真实=1196.94mV | 误差=13.06mV</t>
        </is>
      </c>
    </row>
    <row r="148">
      <c r="A148" s="0" t="inlineStr">
        <is>
          <t>TRIM= 1 | 测量=379.13mV | 真实=1201.87mV | 误差= 8.13mV</t>
        </is>
      </c>
    </row>
    <row r="149">
      <c r="A149" s="0" t="inlineStr">
        <is>
          <t>TRIM= 2 | 测量=384.36mV | 真实=1207.10mV | 误差= 2.90mV</t>
        </is>
      </c>
    </row>
    <row r="150">
      <c r="A150" s="0" t="inlineStr">
        <is>
          <t>TRIM= 3 | 测量=361.40mV | 真实=1184.15mV | 误差=25.85mV</t>
        </is>
      </c>
    </row>
    <row r="151">
      <c r="A151" s="0" t="inlineStr">
        <is>
          <t>TRIM= 4 | 测量=381.14mV | 真实=1203.88mV | 误差= 6.12mV</t>
        </is>
      </c>
    </row>
    <row r="152">
      <c r="A152" s="0" t="inlineStr">
        <is>
          <t>TRIM= 5 | 测量=364.24mV | 真实=1186.99mV | 误差=23.01mV</t>
        </is>
      </c>
    </row>
    <row r="153">
      <c r="A153" s="0" t="inlineStr">
        <is>
          <t>TRIM= 6 | 测量=360.59mV | 真实=1183.33mV | 误差=26.67mV</t>
        </is>
      </c>
    </row>
    <row r="154">
      <c r="A154" s="0" t="inlineStr">
        <is>
          <t>TRIM= 7 | 测量=363.76mV | 真实=1186.51mV | 误差=23.49mV</t>
        </is>
      </c>
    </row>
    <row r="155">
      <c r="A155" s="0" t="inlineStr">
        <is>
          <t>TRIM= 0 | 测量=359.26mV | 真实=1204.90mV | 误差= 5.10mV</t>
        </is>
      </c>
    </row>
    <row r="156">
      <c r="A156" s="0" t="inlineStr">
        <is>
          <t>TRIM= 1 | 测量=369.05mV | 真实=1214.68mV | 误差= 4.68mV</t>
        </is>
      </c>
    </row>
    <row r="157">
      <c r="A157" s="0" t="inlineStr">
        <is>
          <t>TRIM= 2 | 测量=403.66mV | 真实=1249.30mV | 误差=39.30mV</t>
        </is>
      </c>
    </row>
    <row r="158">
      <c r="A158" s="0" t="inlineStr">
        <is>
          <t>TRIM= 3 | 测量=387.85mV | 真实=1233.48mV | 误差=23.48mV</t>
        </is>
      </c>
    </row>
    <row r="159">
      <c r="A159" s="0" t="inlineStr">
        <is>
          <t>TRIM= 4 | 测量=403.75mV | 真实=1249.38mV | 误差=39.38mV</t>
        </is>
      </c>
    </row>
    <row r="160">
      <c r="A160" s="0" t="inlineStr">
        <is>
          <t>TRIM= 5 | 测量=404.16mV | 真实=1249.79mV | 误差=39.79mV</t>
        </is>
      </c>
    </row>
    <row r="161">
      <c r="A161" s="0" t="inlineStr">
        <is>
          <t>TRIM= 6 | 测量=388.91mV | 真实=1234.54mV | 误差=24.54mV</t>
        </is>
      </c>
    </row>
    <row r="162">
      <c r="A162" s="0" t="inlineStr">
        <is>
          <t>TRIM= 7 | 测量=408.51mV | 真实=1254.15mV | 误差=44.15mV</t>
        </is>
      </c>
    </row>
    <row r="163">
      <c r="A163" s="0" t="inlineStr">
        <is>
          <t>TRIM= 0 | 测量=213.56mV | 真实=1164.88mV | 误差=45.12mV</t>
        </is>
      </c>
    </row>
    <row r="164">
      <c r="A164" s="0" t="inlineStr">
        <is>
          <t>TRIM= 1 | 测量=273.00mV | 真实=1224.32mV | 误差=14.32mV</t>
        </is>
      </c>
    </row>
    <row r="165">
      <c r="A165" s="0" t="inlineStr">
        <is>
          <t>TRIM= 2 | 测量=262.66mV | 真实=1213.98mV | 误差= 3.98mV</t>
        </is>
      </c>
    </row>
    <row r="166">
      <c r="A166" s="0" t="inlineStr">
        <is>
          <t>TRIM= 3 | 测量=298.79mV | 真实=1250.11mV | 误差=40.11mV</t>
        </is>
      </c>
    </row>
    <row r="167">
      <c r="A167" s="0" t="inlineStr">
        <is>
          <t>TRIM= 4 | 测量=321.01mV | 真实=1272.33mV | 误差=62.33mV</t>
        </is>
      </c>
    </row>
    <row r="168">
      <c r="A168" s="0" t="inlineStr">
        <is>
          <t>TRIM= 5 | 测量=292.11mV | 真实=1243.43mV | 误差=33.43mV</t>
        </is>
      </c>
    </row>
    <row r="169">
      <c r="A169" s="0" t="inlineStr">
        <is>
          <t>TRIM= 6 | 测量=330.90mV | 真实=1282.22mV | 误差=72.22mV</t>
        </is>
      </c>
    </row>
    <row r="170">
      <c r="A170" s="0" t="inlineStr">
        <is>
          <t>TRIM= 7 | 测量=315.19mV | 真实=1266.51mV | 误差=56.51mV</t>
        </is>
      </c>
    </row>
    <row r="171">
      <c r="A171" s="0" t="inlineStr">
        <is>
          <t>TRIM= 0 | 测量=719.99mV | 真实=1002.61mV | 误差=207.39mV</t>
        </is>
      </c>
    </row>
    <row r="172">
      <c r="A172" s="0" t="inlineStr">
        <is>
          <t>TRIM= 1 | 测量=554.58mV | 真实=837.20mV | 误差=372.80mV</t>
        </is>
      </c>
    </row>
    <row r="173">
      <c r="A173" s="0" t="inlineStr">
        <is>
          <t>TRIM= 2 | 测量=470.84mV | 真实=753.46mV | 误差=456.54mV</t>
        </is>
      </c>
    </row>
    <row r="174">
      <c r="A174" s="0" t="inlineStr">
        <is>
          <t>TRIM= 3 | 测量=326.46mV | 真实=609.07mV | 误差=600.93mV</t>
        </is>
      </c>
    </row>
    <row r="175">
      <c r="A175" s="0" t="inlineStr">
        <is>
          <t>TRIM= 4 | 测量=250.08mV | 真实=532.69mV | 误差=677.31mV</t>
        </is>
      </c>
    </row>
    <row r="176">
      <c r="A176" s="0" t="inlineStr">
        <is>
          <t>TRIM= 5 | 测量=212.35mV | 真实=494.97mV | 误差=715.03mV</t>
        </is>
      </c>
    </row>
    <row r="177">
      <c r="A177" s="0" t="inlineStr">
        <is>
          <t>TRIM= 6 | 测量= 44.36mV | 真实=326.97mV | 误差=883.03mV</t>
        </is>
      </c>
    </row>
    <row r="178">
      <c r="A178" s="0" t="inlineStr">
        <is>
          <t>TRIM= 7 | 测量=114.24mV | 真实=396.86mV | 误差=813.14mV</t>
        </is>
      </c>
    </row>
    <row r="179">
      <c r="A179" s="0" t="inlineStr">
        <is>
          <t>TRIM= 0 | 测量=170.49mV | 真实=1408.51mV | 误差=198.51mV</t>
        </is>
      </c>
    </row>
    <row r="180">
      <c r="A180" s="0" t="inlineStr">
        <is>
          <t>TRIM= 1 | 测量=-13.57mV | 真实=1224.45mV | 误差=14.45mV</t>
        </is>
      </c>
    </row>
    <row r="181">
      <c r="A181" s="0" t="inlineStr">
        <is>
          <t>TRIM= 2 | 测量= 42.11mV | 真实=1280.13mV | 误差=70.13mV</t>
        </is>
      </c>
    </row>
    <row r="182">
      <c r="A182" s="0" t="inlineStr">
        <is>
          <t>TRIM= 3 | 测量=146.49mV | 真实=1384.50mV | 误差=174.50mV</t>
        </is>
      </c>
    </row>
    <row r="183">
      <c r="A183" s="0" t="inlineStr">
        <is>
          <t>TRIM= 4 | 测量=-37.28mV | 真实=1200.74mV | 误差= 9.26mV</t>
        </is>
      </c>
    </row>
    <row r="184">
      <c r="A184" s="0" t="inlineStr">
        <is>
          <t>TRIM= 5 | 测量=148.33mV | 真实=1386.35mV | 误差=176.35mV</t>
        </is>
      </c>
    </row>
    <row r="185">
      <c r="A185" s="0" t="inlineStr">
        <is>
          <t>TRIM= 6 | 测量= -4.90mV | 真实=1233.12mV | 误差=23.12mV</t>
        </is>
      </c>
    </row>
    <row r="186">
      <c r="A186" s="0" t="inlineStr">
        <is>
          <t>TRIM= 7 | 测量= 13.46mV | 真实=1251.48mV | 误差=41.48mV</t>
        </is>
      </c>
    </row>
    <row r="187">
      <c r="A187" s="0" t="inlineStr">
        <is>
          <t>TRIM= 0 | 测量=351.02mV | 真实=1117.25mV | 误差=92.75mV</t>
        </is>
      </c>
    </row>
    <row r="188">
      <c r="A188" s="0" t="inlineStr">
        <is>
          <t>TRIM= 1 | 测量=222.62mV | 真实=988.85mV | 误差=221.15mV</t>
        </is>
      </c>
    </row>
    <row r="189">
      <c r="A189" s="0" t="inlineStr">
        <is>
          <t>TRIM= 2 | 测量=147.47mV | 真实=913.70mV | 误差=296.30mV</t>
        </is>
      </c>
    </row>
    <row r="190">
      <c r="A190" s="0" t="inlineStr">
        <is>
          <t>TRIM= 3 | 测量=176.07mV | 真实=942.30mV | 误差=267.70mV</t>
        </is>
      </c>
    </row>
    <row r="191">
      <c r="A191" s="0" t="inlineStr">
        <is>
          <t>TRIM= 4 | 测量=-13.36mV | 真实=752.87mV | 误差=457.13mV</t>
        </is>
      </c>
    </row>
    <row r="192">
      <c r="A192" s="0" t="inlineStr">
        <is>
          <t>TRIM= 5 | 测量= 79.67mV | 真实=845.90mV | 误差=364.10mV</t>
        </is>
      </c>
    </row>
    <row r="193">
      <c r="A193" s="0" t="inlineStr">
        <is>
          <t>TRIM= 6 | 测量= 49.37mV | 真实=815.60mV | 误差=394.40mV</t>
        </is>
      </c>
    </row>
    <row r="194">
      <c r="A194" s="0" t="inlineStr">
        <is>
          <t>TRIM= 7 | 测量= -8.65mV | 真实=757.58mV | 误差=452.42mV</t>
        </is>
      </c>
    </row>
    <row r="195">
      <c r="A195" s="0" t="inlineStr">
        <is>
          <t>TRIM= 0 | 测量=-41.96mV | 真实=1034.44mV | 误差=175.56mV</t>
        </is>
      </c>
    </row>
    <row r="196">
      <c r="A196" s="0" t="inlineStr">
        <is>
          <t>TRIM= 1 | 测量=128.87mV | 真实=1205.27mV | 误差= 4.73mV</t>
        </is>
      </c>
    </row>
    <row r="197">
      <c r="A197" s="0" t="inlineStr">
        <is>
          <t>TRIM= 2 | 测量=-16.31mV | 真实=1060.09mV | 误差=149.91mV</t>
        </is>
      </c>
    </row>
    <row r="198">
      <c r="A198" s="0" t="inlineStr">
        <is>
          <t>TRIM= 3 | 测量= 42.55mV | 真实=1118.95mV | 误差=91.05mV</t>
        </is>
      </c>
    </row>
    <row r="199">
      <c r="A199" s="0" t="inlineStr">
        <is>
          <t>TRIM= 4 | 测量= 97.73mV | 真实=1174.13mV | 误差=35.87mV</t>
        </is>
      </c>
    </row>
    <row r="200">
      <c r="A200" s="0" t="inlineStr">
        <is>
          <t>TRIM= 5 | 测量=-30.18mV | 真实=1046.22mV | 误差=163.78mV</t>
        </is>
      </c>
    </row>
    <row r="201">
      <c r="A201" s="0" t="inlineStr">
        <is>
          <t>TRIM= 6 | 测量=136.41mV | 真实=1212.81mV | 误差= 2.81mV</t>
        </is>
      </c>
    </row>
    <row r="202">
      <c r="A202" s="0" t="inlineStr">
        <is>
          <t>TRIM= 7 | 测量=-32.85mV | 真实=1043.55mV | 误差=166.45mV</t>
        </is>
      </c>
    </row>
    <row r="203">
      <c r="A203" s="0" t="inlineStr">
        <is>
          <t>TRIM= 0 | 测量=298.11mV | 真实=1125.32mV | 误差=84.68mV</t>
        </is>
      </c>
    </row>
    <row r="204">
      <c r="A204" s="0" t="inlineStr">
        <is>
          <t>TRIM= 1 | 测量=212.51mV | 真实=1039.72mV | 误差=170.28mV</t>
        </is>
      </c>
    </row>
    <row r="205">
      <c r="A205" s="0" t="inlineStr">
        <is>
          <t>TRIM= 2 | 测量=125.45mV | 真实=952.66mV | 误差=257.34mV</t>
        </is>
      </c>
    </row>
    <row r="206">
      <c r="A206" s="0" t="inlineStr">
        <is>
          <t>TRIM= 3 | 测量=166.78mV | 真实=993.99mV | 误差=216.01mV</t>
        </is>
      </c>
    </row>
    <row r="207">
      <c r="A207" s="0" t="inlineStr">
        <is>
          <t>TRIM= 4 | 测量= 10.92mV | 真实=838.13mV | 误差=371.87mV</t>
        </is>
      </c>
    </row>
    <row r="208">
      <c r="A208" s="0" t="inlineStr">
        <is>
          <t>TRIM= 5 | 测量= 29.06mV | 真实=856.27mV | 误差=353.73mV</t>
        </is>
      </c>
    </row>
    <row r="209">
      <c r="A209" s="0" t="inlineStr">
        <is>
          <t>TRIM= 6 | 测量= 83.19mV | 真实=910.40mV | 误差=299.60mV</t>
        </is>
      </c>
    </row>
    <row r="210">
      <c r="A210" s="0" t="inlineStr">
        <is>
          <t>TRIM= 7 | 测量=-38.37mV | 真实=788.84mV | 误差=421.16mV</t>
        </is>
      </c>
    </row>
    <row r="211">
      <c r="A211" t="inlineStr">
        <is>
          <t>TRIM= 0 | 测量=-27.05mV | 真实=1069.71mV | 误差=140.29mV</t>
        </is>
      </c>
    </row>
    <row r="212">
      <c r="A212" t="inlineStr">
        <is>
          <t>TRIM= 1 | 测量= 22.90mV | 真实=1119.66mV | 误差=90.34mV</t>
        </is>
      </c>
    </row>
    <row r="213">
      <c r="A213" t="inlineStr">
        <is>
          <t>TRIM= 2 | 测量= 50.14mV | 真实=1146.90mV | 误差=63.10mV</t>
        </is>
      </c>
    </row>
    <row r="214">
      <c r="A214" t="inlineStr">
        <is>
          <t>TRIM= 3 | 测量=-19.62mV | 真实=1077.14mV | 误差=132.86mV</t>
        </is>
      </c>
    </row>
    <row r="215">
      <c r="A215" t="inlineStr">
        <is>
          <t>TRIM= 4 | 测量=109.36mV | 真实=1206.12mV | 误差= 3.88mV</t>
        </is>
      </c>
    </row>
    <row r="216">
      <c r="A216" t="inlineStr">
        <is>
          <t>TRIM= 5 | 测量=-38.81mV | 真实=1057.94mV | 误差=152.06mV</t>
        </is>
      </c>
    </row>
    <row r="217">
      <c r="A217" t="inlineStr">
        <is>
          <t>TRIM= 6 | 测量= 76.46mV | 真实=1173.22mV | 误差=36.78mV</t>
        </is>
      </c>
    </row>
    <row r="218">
      <c r="A218" t="inlineStr">
        <is>
          <t>TRIM= 7 | 测量= 44.58mV | 真实=1141.34mV | 误差=68.66mV</t>
        </is>
      </c>
    </row>
  </sheetData>
  <mergeCells count="1">
    <mergeCell ref="A1:XF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FD116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  <row r="2">
      <c r="A2" s="0" t="inlineStr">
        <is>
          <t>将ADC模块输出线接入VCC_S引脚, 万用表表笔接入P20引脚, 按下enter键继续...</t>
        </is>
      </c>
    </row>
    <row r="3">
      <c r="A3" s="0" t="inlineStr">
        <is>
          <t>TRIM= 0 | 测量=  2.77mV | 真实=723.69mV | 误差=73.69mV</t>
        </is>
      </c>
    </row>
    <row r="4">
      <c r="A4" s="0" t="inlineStr">
        <is>
          <t>TRIM= 1 | 测量= 80.30mV | 真实=801.22mV | 误差=151.22mV</t>
        </is>
      </c>
    </row>
    <row r="5">
      <c r="A5" s="0" t="inlineStr">
        <is>
          <t>TRIM= 2 | 测量=-106.81mV | 真实=614.11mV | 误差=35.89mV</t>
        </is>
      </c>
    </row>
    <row r="6">
      <c r="A6" s="0" t="inlineStr">
        <is>
          <t>TRIM= 3 | 测量=136.20mV | 真实=857.11mV | 误差=207.11mV</t>
        </is>
      </c>
    </row>
    <row r="7">
      <c r="A7" s="0" t="inlineStr">
        <is>
          <t>TRIM= 0 | 测量=112.20mV | 真实=938.08mV | 误差=288.08mV</t>
        </is>
      </c>
    </row>
    <row r="8">
      <c r="A8" s="0" t="inlineStr">
        <is>
          <t>TRIM= 1 | 测量=-64.67mV | 真实=761.21mV | 误差=111.21mV</t>
        </is>
      </c>
    </row>
    <row r="9">
      <c r="A9" s="0" t="inlineStr">
        <is>
          <t>TRIM= 2 | 测量=-105.74mV | 真实=720.13mV | 误差=70.13mV</t>
        </is>
      </c>
    </row>
    <row r="10">
      <c r="A10" s="0" t="inlineStr">
        <is>
          <t>TRIM= 3 | 测量=149.07mV | 真实=974.95mV | 误差=324.95mV</t>
        </is>
      </c>
    </row>
    <row r="11">
      <c r="A11" s="0" t="inlineStr">
        <is>
          <t>TRIM= 0 | 测量= 52.15mV | 真实=751.27mV | 误差=101.27mV</t>
        </is>
      </c>
    </row>
    <row r="12">
      <c r="A12" s="0" t="inlineStr">
        <is>
          <t>TRIM= 1 | 测量=-122.30mV | 真实=576.81mV | 误差=73.19mV</t>
        </is>
      </c>
    </row>
    <row r="13">
      <c r="A13" s="0" t="inlineStr">
        <is>
          <t>TRIM= 2 | 测量=129.82mV | 真实=828.93mV | 误差=178.93mV</t>
        </is>
      </c>
    </row>
    <row r="14">
      <c r="A14" s="0" t="inlineStr">
        <is>
          <t>TRIM= 3 | 测量=-67.70mV | 真实=631.42mV | 误差=18.58mV</t>
        </is>
      </c>
    </row>
    <row r="15">
      <c r="A15" s="0" t="inlineStr">
        <is>
          <t>TRIM= 0 | 测量=151.69mV | 真实=897.86mV | 误差=247.86mV</t>
        </is>
      </c>
    </row>
    <row r="16">
      <c r="A16" s="0" t="inlineStr">
        <is>
          <t>TRIM= 1 | 测量=-101.16mV | 真实=645.01mV | 误差= 4.99mV</t>
        </is>
      </c>
    </row>
    <row r="17">
      <c r="A17" s="0" t="inlineStr">
        <is>
          <t>TRIM= 2 | 测量=115.33mV | 真实=861.50mV | 误差=211.50mV</t>
        </is>
      </c>
    </row>
    <row r="18">
      <c r="A18" s="0" t="inlineStr">
        <is>
          <t>TRIM= 3 | 测量=-119.16mV | 真实=627.01mV | 误差=22.99mV</t>
        </is>
      </c>
    </row>
    <row r="19">
      <c r="A19" s="0" t="inlineStr">
        <is>
          <t>TRIM= 0 | 测量=-139.61mV | 真实=400.09mV | 误差=249.91mV</t>
        </is>
      </c>
    </row>
    <row r="20">
      <c r="A20" s="0" t="inlineStr">
        <is>
          <t>TRIM= 1 | 测量=134.30mV | 真实=674.00mV | 误差=24.00mV</t>
        </is>
      </c>
    </row>
    <row r="21">
      <c r="A21" s="0" t="inlineStr">
        <is>
          <t>TRIM= 2 | 测量=-112.29mV | 真实=427.41mV | 误差=222.59mV</t>
        </is>
      </c>
    </row>
    <row r="22">
      <c r="A22" s="0" t="inlineStr">
        <is>
          <t>TRIM= 3 | 测量= 95.36mV | 真实=635.06mV | 误差=14.94mV</t>
        </is>
      </c>
    </row>
    <row r="23">
      <c r="A23" s="0" t="inlineStr">
        <is>
          <t>TRIM= 0 | 测量=-98.42mV | 真实=441.33mV | 误差=208.67mV</t>
        </is>
      </c>
    </row>
    <row r="24">
      <c r="A24" s="0" t="inlineStr">
        <is>
          <t>TRIM= 1 | 测量=127.81mV | 真实=667.56mV | 误差=17.56mV</t>
        </is>
      </c>
    </row>
    <row r="25">
      <c r="A25" s="0" t="inlineStr">
        <is>
          <t>TRIM= 2 | 测量=-130.89mV | 真实=408.87mV | 误差=241.13mV</t>
        </is>
      </c>
    </row>
    <row r="26">
      <c r="A26" s="0" t="inlineStr">
        <is>
          <t>TRIM= 3 | 测量= 60.26mV | 真实=600.01mV | 误差=49.99mV</t>
        </is>
      </c>
    </row>
    <row r="27">
      <c r="A27" s="0" t="inlineStr">
        <is>
          <t>TRIM= 0 | 测量=-153.20mV | 真实=405.86mV | 误差=244.14mV</t>
        </is>
      </c>
    </row>
    <row r="28">
      <c r="A28" s="0" t="inlineStr">
        <is>
          <t>TRIM= 1 | 测量=155.09mV | 真实=714.15mV | 误差=64.15mV</t>
        </is>
      </c>
    </row>
    <row r="29">
      <c r="A29" s="0" t="inlineStr">
        <is>
          <t>TRIM= 2 | 测量=-133.99mV | 真实=425.07mV | 误差=224.93mV</t>
        </is>
      </c>
    </row>
    <row r="30">
      <c r="A30" s="0" t="inlineStr">
        <is>
          <t>TRIM= 3 | 测量=117.47mV | 真实=676.53mV | 误差=26.53mV</t>
        </is>
      </c>
    </row>
    <row r="31">
      <c r="A31" s="0" t="inlineStr">
        <is>
          <t>TRIM= 0 | 测量=154.04mV | 真实=1017.03mV | 误差=367.03mV</t>
        </is>
      </c>
    </row>
    <row r="32">
      <c r="A32" s="0" t="inlineStr">
        <is>
          <t>TRIM= 1 | 测量=-157.45mV | 真实=705.55mV | 误差=55.55mV</t>
        </is>
      </c>
    </row>
    <row r="33">
      <c r="A33" s="0" t="inlineStr">
        <is>
          <t>TRIM= 2 | 测量=154.30mV | 真实=1017.29mV | 误差=367.29mV</t>
        </is>
      </c>
    </row>
    <row r="34">
      <c r="A34" s="0" t="inlineStr">
        <is>
          <t>TRIM= 3 | 测量=-142.90mV | 真实=720.10mV | 误差=70.10mV</t>
        </is>
      </c>
    </row>
    <row r="35">
      <c r="A35" s="0" t="inlineStr">
        <is>
          <t>TRIM= 0 | 测量= 53.17mV | 真实=858.22mV | 误差=208.22mV</t>
        </is>
      </c>
    </row>
    <row r="36">
      <c r="A36" s="0" t="inlineStr">
        <is>
          <t>TRIM= 1 | 测量=-57.39mV | 真实=747.66mV | 误差=97.66mV</t>
        </is>
      </c>
    </row>
    <row r="37">
      <c r="A37" s="0" t="inlineStr">
        <is>
          <t>TRIM= 2 | 测量=113.35mV | 真实=918.40mV | 误差=268.40mV</t>
        </is>
      </c>
    </row>
    <row r="38">
      <c r="A38" s="0" t="inlineStr">
        <is>
          <t>TRIM= 3 | 测量=-108.81mV | 真实=696.24mV | 误差=46.24mV</t>
        </is>
      </c>
    </row>
    <row r="39">
      <c r="A39" s="0" t="inlineStr">
        <is>
          <t>回显的数据: b'cmd handle:\ncmd&gt; cmd_gpio_set_595d_test reset\r\nPASS\ncmd handle:\ncmd&gt; cmd_gpio_set_595d_test set 30 6\r\nPASS\n'</t>
        </is>
      </c>
    </row>
    <row r="40">
      <c r="A40" s="0" t="inlineStr">
        <is>
          <t>回显的数据: b'cmd handle:\ncmd&gt; spi_cmd_set_val mV 700\r\ninput pass\n'</t>
        </is>
      </c>
    </row>
    <row r="41">
      <c r="A41" s="0" t="inlineStr">
        <is>
          <t>回显的数据: b'cmd handle:\ncmd&gt; cmd_gpio_set_595d_test set 15 33\r\nPASS\n'</t>
        </is>
      </c>
    </row>
    <row r="42">
      <c r="A42" s="0" t="inlineStr">
        <is>
          <t>TRIM= 0 | 测量= 48.00mV | 真实=674.87mV | 误差=24.87mV</t>
        </is>
      </c>
    </row>
    <row r="43">
      <c r="A43" s="0" t="inlineStr">
        <is>
          <t>TRIM= 1 | 测量= 61.12mV | 真实=687.99mV | 误差=37.99mV</t>
        </is>
      </c>
    </row>
    <row r="44">
      <c r="A44" s="0" t="inlineStr">
        <is>
          <t>TRIM= 2 | 测量= 48.30mV | 真实=675.17mV | 误差=25.17mV</t>
        </is>
      </c>
    </row>
    <row r="45">
      <c r="A45" s="0" t="inlineStr">
        <is>
          <t>TRIM= 3 | 测量= 35.05mV | 真实=661.92mV | 误差=11.92mV</t>
        </is>
      </c>
    </row>
    <row r="46">
      <c r="A46" s="0" t="inlineStr">
        <is>
          <t>回显的数据: b'cmd handle:\ncmd&gt; cmd_gpio_set_595d_test reset\r\nPASS\ncmd handle:\ncmd&gt; cmd_gpio_set_595d_test set 31 33\r\nPASS\ncmd handle:\ncmd&gt; cmd_gpio_set_595d_test reset\r\nPASS\ncmd handle:\ncmd&gt; cmd_gpio_set_595d_test set 23 36\r\nPASS\ncmd handle:\ncmd&gt; cmd_gpio_set_595d_test reset\r\nPASS\ncmd handle:\ncmd&gt; cmd_gpio_set_595d_test set 23 36\r\nPASS\ncmd handle:\ncmd&gt; cmd_gpio_set_595d_test reset\r\nPASS\ncmd handle:\ncmd&gt; cmd_gpio_set_595d_test set 30 6\r\nPASS\n'</t>
        </is>
      </c>
    </row>
    <row r="47">
      <c r="A47" s="0" t="inlineStr">
        <is>
          <t>回显的数据: b''</t>
        </is>
      </c>
    </row>
    <row r="48">
      <c r="A48" s="0" t="inlineStr">
        <is>
          <t>回显的数据: b''</t>
        </is>
      </c>
    </row>
    <row r="49">
      <c r="A49" s="0" t="inlineStr">
        <is>
          <t>TRIM= 0 | 测量=-81.34mV | 真实=601.15mV | 误差=48.85mV</t>
        </is>
      </c>
    </row>
    <row r="50">
      <c r="A50" s="0" t="inlineStr">
        <is>
          <t>TRIM= 1 | 测量= 36.42mV | 真实=718.90mV | 误差=68.90mV</t>
        </is>
      </c>
    </row>
    <row r="51">
      <c r="A51" s="0" t="inlineStr">
        <is>
          <t>TRIM= 2 | 测量=117.14mV | 真实=799.63mV | 误差=149.63mV</t>
        </is>
      </c>
    </row>
    <row r="52">
      <c r="A52" s="0" t="inlineStr">
        <is>
          <t>TRIM= 3 | 测量=-100.43mV | 真实=582.05mV | 误差=67.95mV</t>
        </is>
      </c>
    </row>
    <row r="53">
      <c r="A53" s="0" t="inlineStr">
        <is>
          <t>TRIM= 0 | 测量= 22.13mV | 真实=682.13mV | 误差=32.13mV</t>
        </is>
      </c>
    </row>
    <row r="54">
      <c r="A54" s="0" t="inlineStr">
        <is>
          <t>TRIM= 1 | 测量= 46.24mV | 真实=706.24mV | 误差=56.24mV</t>
        </is>
      </c>
    </row>
    <row r="55">
      <c r="A55" s="0" t="inlineStr">
        <is>
          <t>TRIM= 2 | 测量= 10.11mV | 真实=670.11mV | 误差=20.11mV</t>
        </is>
      </c>
    </row>
    <row r="56">
      <c r="A56" s="0" t="inlineStr">
        <is>
          <t>TRIM= 3 | 测量= 35.99mV | 真实=695.98mV | 误差=45.98mV</t>
        </is>
      </c>
    </row>
    <row r="57">
      <c r="A57" s="0" t="inlineStr">
        <is>
          <t>TRIM= 0 | 测量= 45.93mV | 真实=734.23mV | 误差=84.23mV</t>
        </is>
      </c>
    </row>
    <row r="58">
      <c r="A58" s="0" t="inlineStr">
        <is>
          <t>TRIM= 1 | 测量=  9.06mV | 真实=697.36mV | 误差=47.36mV</t>
        </is>
      </c>
    </row>
    <row r="59">
      <c r="A59" s="0" t="inlineStr">
        <is>
          <t>TRIM= 2 | 测量= 38.08mV | 真实=726.38mV | 误差=76.38mV</t>
        </is>
      </c>
    </row>
    <row r="60">
      <c r="A60" s="0" t="inlineStr">
        <is>
          <t>TRIM= 3 | 测量= 16.55mV | 真实=704.86mV | 误差=54.86mV</t>
        </is>
      </c>
    </row>
    <row r="61">
      <c r="A61" s="0" t="inlineStr">
        <is>
          <t>TRIM= 0 | 测量= 26.14mV | 真实=697.48mV | 误差=47.48mV</t>
        </is>
      </c>
    </row>
    <row r="62">
      <c r="A62" s="0" t="inlineStr">
        <is>
          <t>TRIM= 1 | 测量= 15.51mV | 真实=686.85mV | 误差=36.85mV</t>
        </is>
      </c>
    </row>
    <row r="63">
      <c r="A63" s="0" t="inlineStr">
        <is>
          <t>TRIM= 2 | 测量= 41.61mV | 真实=712.95mV | 误差=62.95mV</t>
        </is>
      </c>
    </row>
    <row r="64">
      <c r="A64" s="0" t="inlineStr">
        <is>
          <t>TRIM= 3 | 测量=  4.89mV | 真实=676.23mV | 误差=26.23mV</t>
        </is>
      </c>
    </row>
    <row r="65">
      <c r="A65" s="0" t="inlineStr">
        <is>
          <t>TRIM= 0 | 测量= 98.80mV | 真实=713.46mV | 误差=63.46mV</t>
        </is>
      </c>
    </row>
    <row r="66">
      <c r="A66" s="0" t="inlineStr">
        <is>
          <t>TRIM= 1 | 测量= 77.61mV | 真实=692.28mV | 误差=42.28mV</t>
        </is>
      </c>
    </row>
    <row r="67">
      <c r="A67" s="0" t="inlineStr">
        <is>
          <t>TRIM= 2 | 测量= 87.60mV | 真实=702.27mV | 误差=52.27mV</t>
        </is>
      </c>
    </row>
    <row r="68">
      <c r="A68" s="0" t="inlineStr">
        <is>
          <t>TRIM= 3 | 测量= 67.30mV | 真实=681.96mV | 误差=31.96mV</t>
        </is>
      </c>
    </row>
    <row r="69">
      <c r="A69" s="0" t="inlineStr">
        <is>
          <t>TRIM= 0 | 测量= 93.13mV | 真实=682.71mV | 误差=32.71mV</t>
        </is>
      </c>
    </row>
    <row r="70">
      <c r="A70" s="0" t="inlineStr">
        <is>
          <t>TRIM= 1 | 测量= 85.93mV | 真实=675.51mV | 误差=25.51mV</t>
        </is>
      </c>
    </row>
    <row r="71">
      <c r="A71" s="0" t="inlineStr">
        <is>
          <t>TRIM= 2 | 测量= 82.46mV | 真实=672.04mV | 误差=22.04mV</t>
        </is>
      </c>
    </row>
    <row r="72">
      <c r="A72" s="0" t="inlineStr">
        <is>
          <t>TRIM= 3 | 测量= 73.84mV | 真实=663.42mV | 误差=13.42mV</t>
        </is>
      </c>
    </row>
    <row r="73">
      <c r="A73" s="0" t="inlineStr">
        <is>
          <t>TRIM= 0 | 测量=3299.57mV | 真实=699.98mV | 误差=49.98mV</t>
        </is>
      </c>
    </row>
    <row r="74">
      <c r="A74" s="0" t="inlineStr">
        <is>
          <t>TRIM= 1 | 测量=3299.55mV | 真实=699.96mV | 误差=49.96mV</t>
        </is>
      </c>
    </row>
    <row r="75">
      <c r="A75" s="0" t="inlineStr">
        <is>
          <t>TRIM= 2 | 测量=3299.53mV | 真实=699.94mV | 误差=49.94mV</t>
        </is>
      </c>
    </row>
    <row r="76">
      <c r="A76" s="0" t="inlineStr">
        <is>
          <t>TRIM= 3 | 测量=3299.53mV | 真实=699.94mV | 误差=49.94mV</t>
        </is>
      </c>
    </row>
    <row r="77">
      <c r="A77" s="0" t="inlineStr">
        <is>
          <t>TRIM= 0 | 测量= 13.71mV | 真实=681.20mV | 误差=31.20mV</t>
        </is>
      </c>
    </row>
    <row r="78">
      <c r="A78" s="0" t="inlineStr">
        <is>
          <t>TRIM= 1 | 测量= 29.96mV | 真实=697.45mV | 误差=47.45mV</t>
        </is>
      </c>
    </row>
    <row r="79">
      <c r="A79" s="0" t="inlineStr">
        <is>
          <t>TRIM= 2 | 测量= 23.86mV | 真实=691.34mV | 误差=41.34mV</t>
        </is>
      </c>
    </row>
    <row r="80">
      <c r="A80" s="0" t="inlineStr">
        <is>
          <t>TRIM= 3 | 测量=  9.75mV | 真实=677.23mV | 误差=27.23mV</t>
        </is>
      </c>
    </row>
    <row r="81">
      <c r="A81" s="0" t="inlineStr">
        <is>
          <t>TRIM= 0 | 测量=175.46mV | 真实=658.55mV | 误差= 8.55mV</t>
        </is>
      </c>
    </row>
    <row r="82">
      <c r="A82" s="0" t="inlineStr">
        <is>
          <t>TRIM= 1 | 测量=195.20mV | 真实=678.30mV | 误差=28.30mV</t>
        </is>
      </c>
    </row>
    <row r="83">
      <c r="A83" s="0" t="inlineStr">
        <is>
          <t>TRIM= 2 | 测量=161.34mV | 真实=644.44mV | 误差= 5.56mV</t>
        </is>
      </c>
    </row>
    <row r="84">
      <c r="A84" s="0" t="inlineStr">
        <is>
          <t>TRIM= 3 | 测量=161.25mV | 真实=644.35mV | 误差= 5.65mV</t>
        </is>
      </c>
    </row>
    <row r="85">
      <c r="A85" s="0" t="inlineStr">
        <is>
          <t>TRIM= 0 | 测量=135.33mV | 真实=713.32mV | 误差=63.32mV</t>
        </is>
      </c>
    </row>
    <row r="86">
      <c r="A86" s="0" t="inlineStr">
        <is>
          <t>TRIM= 1 | 测量=100.77mV | 真实=678.75mV | 误差=28.75mV</t>
        </is>
      </c>
    </row>
    <row r="87">
      <c r="A87" s="0" t="inlineStr">
        <is>
          <t>TRIM= 2 | 测量=108.33mV | 真实=686.32mV | 误差=36.32mV</t>
        </is>
      </c>
    </row>
    <row r="88">
      <c r="A88" s="0" t="inlineStr">
        <is>
          <t>TRIM= 3 | 测量=100.66mV | 真实=678.65mV | 误差=28.65mV</t>
        </is>
      </c>
    </row>
    <row r="89">
      <c r="A89" s="0" t="inlineStr">
        <is>
          <t>TRIM= 0 | 测量=106.31mV | 真实=716.60mV | 误差=66.60mV</t>
        </is>
      </c>
    </row>
    <row r="90">
      <c r="A90" s="0" t="inlineStr">
        <is>
          <t>TRIM= 1 | 测量= 90.17mV | 真实=700.46mV | 误差=50.46mV</t>
        </is>
      </c>
    </row>
    <row r="91">
      <c r="A91" s="0" t="inlineStr">
        <is>
          <t>TRIM= 2 | 测量= 85.14mV | 真实=695.43mV | 误差=45.43mV</t>
        </is>
      </c>
    </row>
    <row r="92">
      <c r="A92" s="0" t="inlineStr">
        <is>
          <t>TRIM= 3 | 测量=109.26mV | 真实=719.55mV | 误差=69.55mV</t>
        </is>
      </c>
    </row>
    <row r="93">
      <c r="A93" s="0" t="inlineStr">
        <is>
          <t>TRIM= 0 | 测量=225.85mV | 真实=669.89mV | 误差=19.89mV</t>
        </is>
      </c>
    </row>
    <row r="94">
      <c r="A94" s="0" t="inlineStr">
        <is>
          <t>TRIM= 1 | 测量=262.38mV | 真实=706.42mV | 误差=56.42mV</t>
        </is>
      </c>
    </row>
    <row r="95">
      <c r="A95" s="0" t="inlineStr">
        <is>
          <t>TRIM= 2 | 测量=225.15mV | 真实=669.19mV | 误差=19.19mV</t>
        </is>
      </c>
    </row>
    <row r="96">
      <c r="A96" s="0" t="inlineStr">
        <is>
          <t>TRIM= 3 | 测量=248.05mV | 真实=692.09mV | 误差=42.09mV</t>
        </is>
      </c>
    </row>
    <row r="97">
      <c r="A97" s="0" t="inlineStr">
        <is>
          <t>TRIM= 0 | 测量=-78.05mV | 真实=453.16mV | 误差=196.84mV</t>
        </is>
      </c>
    </row>
    <row r="98">
      <c r="A98" s="0" t="inlineStr">
        <is>
          <t>TRIM= 1 | 测量=137.62mV | 真实=668.83mV | 误差=18.83mV</t>
        </is>
      </c>
    </row>
    <row r="99">
      <c r="A99" s="0" t="inlineStr">
        <is>
          <t>TRIM= 2 | 测量= 10.25mV | 真实=541.46mV | 误差=108.54mV</t>
        </is>
      </c>
    </row>
    <row r="100">
      <c r="A100" s="0" t="inlineStr">
        <is>
          <t>TRIM= 3 | 测量=-27.95mV | 真实=503.26mV | 误差=146.74mV</t>
        </is>
      </c>
    </row>
    <row r="101">
      <c r="A101" s="0" t="inlineStr">
        <is>
          <t>TRIM= 0 | 测量=-38.85mV | 真实=513.43mV | 误差=136.57mV</t>
        </is>
      </c>
    </row>
    <row r="102">
      <c r="A102" s="0" t="inlineStr">
        <is>
          <t>TRIM= 1 | 测量=146.93mV | 真实=699.21mV | 误差=49.21mV</t>
        </is>
      </c>
    </row>
    <row r="103">
      <c r="A103" s="0" t="inlineStr">
        <is>
          <t>TRIM= 2 | 测量=  5.60mV | 真实=557.88mV | 误差=92.12mV</t>
        </is>
      </c>
    </row>
    <row r="104">
      <c r="A104" s="0" t="inlineStr">
        <is>
          <t>TRIM= 3 | 测量= 33.95mV | 真实=586.23mV | 误差=63.77mV</t>
        </is>
      </c>
    </row>
    <row r="105">
      <c r="A105" s="0" t="inlineStr">
        <is>
          <t>TRIM= 0 | 测量= 65.01mV | 真实=761.52mV | 误差=111.52mV</t>
        </is>
      </c>
    </row>
    <row r="106">
      <c r="A106" s="0" t="inlineStr">
        <is>
          <t>TRIM= 1 | 测量= 51.29mV | 真实=747.80mV | 误差=97.80mV</t>
        </is>
      </c>
    </row>
    <row r="107">
      <c r="A107" s="0" t="inlineStr">
        <is>
          <t>TRIM= 2 | 测量=-15.32mV | 真实=681.19mV | 误差=31.19mV</t>
        </is>
      </c>
    </row>
    <row r="108">
      <c r="A108" s="0" t="inlineStr">
        <is>
          <t>TRIM= 3 | 测量=137.14mV | 真实=833.65mV | 误差=183.65mV</t>
        </is>
      </c>
    </row>
    <row r="109">
      <c r="A109" s="0" t="inlineStr">
        <is>
          <t>TRIM= 0 | 测量=-16.43mV | 真实=618.18mV | 误差=31.82mV</t>
        </is>
      </c>
    </row>
    <row r="110">
      <c r="A110" s="0" t="inlineStr">
        <is>
          <t>TRIM= 1 | 测量=133.07mV | 真实=767.68mV | 误差=117.68mV</t>
        </is>
      </c>
    </row>
    <row r="111">
      <c r="A111" s="0" t="inlineStr">
        <is>
          <t>TRIM= 2 | 测量=-37.66mV | 真实=596.95mV | 误差=53.05mV</t>
        </is>
      </c>
    </row>
    <row r="112">
      <c r="A112" s="0" t="inlineStr">
        <is>
          <t>TRIM= 3 | 测量= 74.71mV | 真实=709.32mV | 误差=59.32mV</t>
        </is>
      </c>
    </row>
    <row r="113">
      <c r="A113" s="0" t="inlineStr">
        <is>
          <t>TRIM= 0 | 测量= 28.60mV | 真实=724.79mV | 误差=74.79mV</t>
        </is>
      </c>
    </row>
    <row r="114">
      <c r="A114" s="0" t="inlineStr">
        <is>
          <t>TRIM= 1 | 测量= 80.21mV | 真实=776.40mV | 误差=126.40mV</t>
        </is>
      </c>
    </row>
    <row r="115">
      <c r="A115" s="0" t="inlineStr">
        <is>
          <t>TRIM= 2 | 测量=-37.39mV | 真实=658.80mV | 误差= 8.80mV</t>
        </is>
      </c>
    </row>
    <row r="116">
      <c r="A116" s="0" t="inlineStr">
        <is>
          <t>TRIM= 3 | 测量=117.76mV | 真实=813.94mV | 误差=163.94mV</t>
        </is>
      </c>
    </row>
  </sheetData>
  <mergeCells count="1">
    <mergeCell ref="A1:XF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FD30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  <row r="2">
      <c r="A2" s="0" t="inlineStr">
        <is>
          <t>请将万用表表笔接入P11引脚, 按下enter键继续...</t>
        </is>
      </c>
    </row>
    <row r="3">
      <c r="A3" s="0" t="inlineStr">
        <is>
          <t>初始VREFA测量值: 4029.30mV</t>
        </is>
      </c>
    </row>
    <row r="4">
      <c r="A4" s="0" t="inlineStr">
        <is>
          <t>初始VREFB测量值: 4036.46mV</t>
        </is>
      </c>
    </row>
    <row r="5">
      <c r="A5" s="0" t="inlineStr">
        <is>
          <t>best_trim: 28</t>
        </is>
      </c>
    </row>
    <row r="6">
      <c r="A6" s="0" t="inlineStr">
        <is>
          <t>测试TRIM=23: 测量电压=3941.31mV</t>
        </is>
      </c>
    </row>
    <row r="7">
      <c r="A7" s="0" t="inlineStr">
        <is>
          <t>测试TRIM=24: 测量电压=3952.69mV</t>
        </is>
      </c>
    </row>
    <row r="8">
      <c r="A8" s="0" t="inlineStr">
        <is>
          <t>测试TRIM=25: 测量电压=3960.14mV</t>
        </is>
      </c>
    </row>
    <row r="9">
      <c r="A9" s="0" t="inlineStr">
        <is>
          <t>测试TRIM=26: 测量电压=3970.35mV</t>
        </is>
      </c>
    </row>
    <row r="10">
      <c r="A10" s="0" t="inlineStr">
        <is>
          <t>测试TRIM=27: 测量电压=3978.59mV</t>
        </is>
      </c>
    </row>
    <row r="11">
      <c r="A11" s="0" t="inlineStr">
        <is>
          <t>测试TRIM=28: 测量电压=3989.46mV</t>
        </is>
      </c>
    </row>
    <row r="12">
      <c r="A12" s="0" t="inlineStr">
        <is>
          <t>测试TRIM=29: 测量电压=3998.03mV</t>
        </is>
      </c>
    </row>
    <row r="13">
      <c r="A13" s="0" t="inlineStr">
        <is>
          <t>测试TRIM=30: 测量电压=4008.88mV</t>
        </is>
      </c>
    </row>
    <row r="14">
      <c r="A14" s="0" t="inlineStr">
        <is>
          <t>测试TRIM=31: 测量电压=4017.56mV</t>
        </is>
      </c>
    </row>
    <row r="15">
      <c r="A15" s="0" t="inlineStr">
        <is>
          <t>测试TRIM=32: 测量电压=4028.56mV</t>
        </is>
      </c>
    </row>
    <row r="16">
      <c r="A16" s="0" t="inlineStr">
        <is>
          <t>初始VREFA测量值: 60.79mV</t>
        </is>
      </c>
    </row>
    <row r="17">
      <c r="A17" s="0" t="inlineStr">
        <is>
          <t>初始VREFB测量值: -151.68mV</t>
        </is>
      </c>
    </row>
    <row r="18">
      <c r="A18" s="0" t="inlineStr">
        <is>
          <t>best_trim: 13</t>
        </is>
      </c>
    </row>
    <row r="19">
      <c r="A19" s="0" t="inlineStr">
        <is>
          <t>测试TRIM=8: 测量电压=125.77mV</t>
        </is>
      </c>
    </row>
    <row r="20">
      <c r="A20" s="0" t="inlineStr">
        <is>
          <t>测试TRIM=9: 测量电压=-8.77mV</t>
        </is>
      </c>
    </row>
    <row r="21">
      <c r="A21" s="0" t="inlineStr">
        <is>
          <t>测试TRIM=10: 测量电压=-63.43mV</t>
        </is>
      </c>
    </row>
    <row r="22">
      <c r="A22" s="0" t="inlineStr">
        <is>
          <t>测试TRIM=11: 测量电压=124.65mV</t>
        </is>
      </c>
    </row>
    <row r="23">
      <c r="A23" s="0" t="inlineStr">
        <is>
          <t>测试TRIM=12: 测量电压=-133.43mV</t>
        </is>
      </c>
    </row>
    <row r="24">
      <c r="A24" s="0" t="inlineStr">
        <is>
          <t>测试TRIM=13: 测量电压=57.45mV</t>
        </is>
      </c>
    </row>
    <row r="25">
      <c r="A25" s="0" t="inlineStr">
        <is>
          <t>测试TRIM=14: 测量电压=12.66mV</t>
        </is>
      </c>
    </row>
    <row r="26">
      <c r="A26" s="0" t="inlineStr">
        <is>
          <t>测试TRIM=15: 测量电压=-152.94mV</t>
        </is>
      </c>
    </row>
    <row r="27">
      <c r="A27" s="0" t="inlineStr">
        <is>
          <t>测试TRIM=16: 测量电压=121.68mV</t>
        </is>
      </c>
    </row>
    <row r="28">
      <c r="A28" s="0" t="inlineStr">
        <is>
          <t>测试TRIM=17: 测量电压=-29.02mV</t>
        </is>
      </c>
    </row>
    <row r="29">
      <c r="A29" s="0" t="inlineStr">
        <is>
          <t>初始VREFA测量值: 144.73mV</t>
        </is>
      </c>
    </row>
    <row r="30">
      <c r="A30" s="0" t="inlineStr">
        <is>
          <t>初始VREFB测量值: -100.25mV</t>
        </is>
      </c>
    </row>
    <row r="31">
      <c r="A31" s="0" t="inlineStr">
        <is>
          <t>best_trim: 16</t>
        </is>
      </c>
    </row>
    <row r="32">
      <c r="A32" s="0" t="inlineStr">
        <is>
          <t>测试TRIM=11: 测量电压=-64.04mV</t>
        </is>
      </c>
    </row>
    <row r="33">
      <c r="A33" s="0" t="inlineStr">
        <is>
          <t>测试TRIM=12: 测量电压=141.87mV</t>
        </is>
      </c>
    </row>
    <row r="34">
      <c r="A34" s="0" t="inlineStr">
        <is>
          <t>测试TRIM=13: 测量电压=-132.23mV</t>
        </is>
      </c>
    </row>
    <row r="35">
      <c r="A35" s="0" t="inlineStr">
        <is>
          <t>测试TRIM=14: 测量电压=53.64mV</t>
        </is>
      </c>
    </row>
    <row r="36">
      <c r="A36" s="0" t="inlineStr">
        <is>
          <t>测试TRIM=15: 测量电压=75.24mV</t>
        </is>
      </c>
    </row>
    <row r="37">
      <c r="A37" s="0" t="inlineStr">
        <is>
          <t>测试TRIM=16: 测量电压=-146.00mV</t>
        </is>
      </c>
    </row>
    <row r="38">
      <c r="A38" s="0" t="inlineStr">
        <is>
          <t>测试TRIM=17: 测量电压=122.59mV</t>
        </is>
      </c>
    </row>
    <row r="39">
      <c r="A39" s="0" t="inlineStr">
        <is>
          <t>测试TRIM=18: 测量电压=-34.51mV</t>
        </is>
      </c>
    </row>
    <row r="40">
      <c r="A40" s="0" t="inlineStr">
        <is>
          <t>测试TRIM=19: 测量电压=-32.29mV</t>
        </is>
      </c>
    </row>
    <row r="41">
      <c r="A41" s="0" t="inlineStr">
        <is>
          <t>测试TRIM=20: 测量电压=143.41mV</t>
        </is>
      </c>
    </row>
    <row r="42">
      <c r="A42" s="0" t="inlineStr">
        <is>
          <t>初始VREFA测量值: 123.68mV</t>
        </is>
      </c>
    </row>
    <row r="43">
      <c r="A43" s="0" t="inlineStr">
        <is>
          <t>初始VREFB测量值: -118.12mV</t>
        </is>
      </c>
    </row>
    <row r="44">
      <c r="A44" s="0" t="inlineStr">
        <is>
          <t>best_trim: 16</t>
        </is>
      </c>
    </row>
    <row r="45">
      <c r="A45" s="0" t="inlineStr">
        <is>
          <t>测试TRIM=11: 测量电压=113.82mV</t>
        </is>
      </c>
    </row>
    <row r="46">
      <c r="A46" s="0" t="inlineStr">
        <is>
          <t>测试TRIM=12: 测量电压=-110.17mV</t>
        </is>
      </c>
    </row>
    <row r="47">
      <c r="A47" s="0" t="inlineStr">
        <is>
          <t>测试TRIM=13: 测量电压=127.08mV</t>
        </is>
      </c>
    </row>
    <row r="48">
      <c r="A48" s="0" t="inlineStr">
        <is>
          <t>测试TRIM=14: 测量电压=-109.68mV</t>
        </is>
      </c>
    </row>
    <row r="49">
      <c r="A49" s="0" t="inlineStr">
        <is>
          <t>测试TRIM=15: 测量电压=63.83mV</t>
        </is>
      </c>
    </row>
    <row r="50">
      <c r="A50" s="0" t="inlineStr">
        <is>
          <t>测试TRIM=16: 测量电压=2.43mV</t>
        </is>
      </c>
    </row>
    <row r="51">
      <c r="A51" s="0" t="inlineStr">
        <is>
          <t>测试TRIM=17: 测量电压=-70.52mV</t>
        </is>
      </c>
    </row>
    <row r="52">
      <c r="A52" s="0" t="inlineStr">
        <is>
          <t>测试TRIM=18: 测量电压=80.68mV</t>
        </is>
      </c>
    </row>
    <row r="53">
      <c r="A53" s="0" t="inlineStr">
        <is>
          <t>测试TRIM=19: 测量电压=-104.55mV</t>
        </is>
      </c>
    </row>
    <row r="54">
      <c r="A54" s="0" t="inlineStr">
        <is>
          <t>测试TRIM=20: 测量电压=101.92mV</t>
        </is>
      </c>
    </row>
    <row r="55">
      <c r="A55" s="0" t="inlineStr">
        <is>
          <t>初始VREFA测量值: -94.67mV</t>
        </is>
      </c>
    </row>
    <row r="56">
      <c r="A56" s="0" t="inlineStr">
        <is>
          <t>初始VREFB测量值: 146.94mV</t>
        </is>
      </c>
    </row>
    <row r="57">
      <c r="A57" s="0" t="inlineStr">
        <is>
          <t>best_trim: 49</t>
        </is>
      </c>
    </row>
    <row r="58">
      <c r="A58" s="0" t="inlineStr">
        <is>
          <t>测试TRIM=44: 测量电压=-133.58mV</t>
        </is>
      </c>
    </row>
    <row r="59">
      <c r="A59" s="0" t="inlineStr">
        <is>
          <t>测试TRIM=45: 测量电压=161.19mV</t>
        </is>
      </c>
    </row>
    <row r="60">
      <c r="A60" s="0" t="inlineStr">
        <is>
          <t>测试TRIM=46: 测量电压=-160.64mV</t>
        </is>
      </c>
    </row>
    <row r="61">
      <c r="A61" s="0" t="inlineStr">
        <is>
          <t>测试TRIM=47: 测量电压=123.10mV</t>
        </is>
      </c>
    </row>
    <row r="62">
      <c r="A62" s="0" t="inlineStr">
        <is>
          <t>测试TRIM=48: 测量电压=-66.98mV</t>
        </is>
      </c>
    </row>
    <row r="63">
      <c r="A63" s="0" t="inlineStr">
        <is>
          <t>测试TRIM=49: 测量电压=90.62mV</t>
        </is>
      </c>
    </row>
    <row r="64">
      <c r="A64" s="0" t="inlineStr">
        <is>
          <t>测试TRIM=50: 测量电压=-18.28mV</t>
        </is>
      </c>
    </row>
    <row r="65">
      <c r="A65" s="0" t="inlineStr">
        <is>
          <t>测试TRIM=51: 测量电压=36.57mV</t>
        </is>
      </c>
    </row>
    <row r="66">
      <c r="A66" s="0" t="inlineStr">
        <is>
          <t>测试TRIM=52: 测量电压=-52.66mV</t>
        </is>
      </c>
    </row>
    <row r="67">
      <c r="A67" s="0" t="inlineStr">
        <is>
          <t>测试TRIM=53: 测量电压=90.56mV</t>
        </is>
      </c>
    </row>
    <row r="68">
      <c r="A68" s="0" t="inlineStr">
        <is>
          <t>初始VREFA测量值: -110.51mV</t>
        </is>
      </c>
    </row>
    <row r="69">
      <c r="A69" s="0" t="inlineStr">
        <is>
          <t>初始VREFB测量值: 144.84mV</t>
        </is>
      </c>
    </row>
    <row r="70">
      <c r="A70" s="0" t="inlineStr">
        <is>
          <t>best_trim: 48</t>
        </is>
      </c>
    </row>
    <row r="71">
      <c r="A71" s="0" t="inlineStr">
        <is>
          <t>测试TRIM=43: 测量电压=3299.98mV</t>
        </is>
      </c>
    </row>
    <row r="72">
      <c r="A72" s="0" t="inlineStr">
        <is>
          <t>测试TRIM=44: 测量电压=3300.02mV</t>
        </is>
      </c>
    </row>
    <row r="73">
      <c r="A73" s="0" t="inlineStr">
        <is>
          <t>测试TRIM=45: 测量电压=3299.99mV</t>
        </is>
      </c>
    </row>
    <row r="74">
      <c r="A74" s="0" t="inlineStr">
        <is>
          <t>测试TRIM=46: 测量电压=3300.06mV</t>
        </is>
      </c>
    </row>
    <row r="75">
      <c r="A75" s="0" t="inlineStr">
        <is>
          <t>测试TRIM=47: 测量电压=3300.02mV</t>
        </is>
      </c>
    </row>
    <row r="76">
      <c r="A76" s="0" t="inlineStr">
        <is>
          <t>测试TRIM=48: 测量电压=3299.99mV</t>
        </is>
      </c>
    </row>
    <row r="77">
      <c r="A77" s="0" t="inlineStr">
        <is>
          <t>测试TRIM=49: 测量电压=3300.05mV</t>
        </is>
      </c>
    </row>
    <row r="78">
      <c r="A78" s="0" t="inlineStr">
        <is>
          <t>测试TRIM=50: 测量电压=3299.96mV</t>
        </is>
      </c>
    </row>
    <row r="79">
      <c r="A79" s="0" t="inlineStr">
        <is>
          <t>测试TRIM=51: 测量电压=3299.92mV</t>
        </is>
      </c>
    </row>
    <row r="80">
      <c r="A80" s="0" t="inlineStr">
        <is>
          <t>测试TRIM=52: 测量电压=3299.98mV</t>
        </is>
      </c>
    </row>
    <row r="81">
      <c r="A81" s="0" t="inlineStr">
        <is>
          <t>初始VREFA测量值: -26.81mV</t>
        </is>
      </c>
    </row>
    <row r="82">
      <c r="A82" s="0" t="inlineStr">
        <is>
          <t>初始VREFB测量值: 134.11mV</t>
        </is>
      </c>
    </row>
    <row r="83">
      <c r="A83" s="0" t="inlineStr">
        <is>
          <t>best_trim: 57</t>
        </is>
      </c>
    </row>
    <row r="84">
      <c r="A84" s="0" t="inlineStr">
        <is>
          <t>测试TRIM=52: 测量电压=-138.34mV</t>
        </is>
      </c>
    </row>
    <row r="85">
      <c r="A85" s="0" t="inlineStr">
        <is>
          <t>测试TRIM=53: 测量电压=147.56mV</t>
        </is>
      </c>
    </row>
    <row r="86">
      <c r="A86" s="0" t="inlineStr">
        <is>
          <t>测试TRIM=54: 测量电压=-159.48mV</t>
        </is>
      </c>
    </row>
    <row r="87">
      <c r="A87" s="0" t="inlineStr">
        <is>
          <t>测试TRIM=55: 测量电压=143.34mV</t>
        </is>
      </c>
    </row>
    <row r="88">
      <c r="A88" s="0" t="inlineStr">
        <is>
          <t>测试TRIM=56: 测量电压=-151.03mV</t>
        </is>
      </c>
    </row>
    <row r="89">
      <c r="A89" s="0" t="inlineStr">
        <is>
          <t>测试TRIM=57: 测量电压=127.51mV</t>
        </is>
      </c>
    </row>
    <row r="90">
      <c r="A90" s="0" t="inlineStr">
        <is>
          <t>测试TRIM=58: 测量电压=-62.07mV</t>
        </is>
      </c>
    </row>
    <row r="91">
      <c r="A91" s="0" t="inlineStr">
        <is>
          <t>测试TRIM=59: 测量电压=64.11mV</t>
        </is>
      </c>
    </row>
    <row r="92">
      <c r="A92" s="0" t="inlineStr">
        <is>
          <t>测试TRIM=60: 测量电压=-10.42mV</t>
        </is>
      </c>
    </row>
    <row r="93">
      <c r="A93" s="0" t="inlineStr">
        <is>
          <t>测试TRIM=61: 测量电压=-65.81mV</t>
        </is>
      </c>
    </row>
    <row r="94">
      <c r="A94" s="0" t="inlineStr">
        <is>
          <t>初始VREFA测量值: 3299.63mV</t>
        </is>
      </c>
    </row>
    <row r="95">
      <c r="A95" s="0" t="inlineStr">
        <is>
          <t>初始VREFB测量值: 3299.59mV</t>
        </is>
      </c>
    </row>
    <row r="96">
      <c r="A96" s="0" t="inlineStr">
        <is>
          <t>best_trim: -15710</t>
        </is>
      </c>
    </row>
    <row r="97">
      <c r="A97" s="0" t="inlineStr">
        <is>
          <t>测试TRIM=-15715: 测量电压=3299.64mV</t>
        </is>
      </c>
    </row>
    <row r="98">
      <c r="A98" s="0" t="inlineStr">
        <is>
          <t>测试TRIM=-15714: 测量电压=3299.67mV</t>
        </is>
      </c>
    </row>
    <row r="99">
      <c r="A99" s="0" t="inlineStr">
        <is>
          <t>测试TRIM=-15713: 测量电压=3299.65mV</t>
        </is>
      </c>
    </row>
    <row r="100">
      <c r="A100" s="0" t="inlineStr">
        <is>
          <t>测试TRIM=-15712: 测量电压=3299.53mV</t>
        </is>
      </c>
    </row>
    <row r="101">
      <c r="A101" s="0" t="inlineStr">
        <is>
          <t>测试TRIM=-15711: 测量电压=3299.62mV</t>
        </is>
      </c>
    </row>
    <row r="102">
      <c r="A102" s="0" t="inlineStr">
        <is>
          <t>测试TRIM=-15710: 测量电压=3299.60mV</t>
        </is>
      </c>
    </row>
    <row r="103">
      <c r="A103" s="0" t="inlineStr">
        <is>
          <t>测试TRIM=-15709: 测量电压=3299.61mV</t>
        </is>
      </c>
    </row>
    <row r="104">
      <c r="A104" s="0" t="inlineStr">
        <is>
          <t>测试TRIM=-15708: 测量电压=3299.58mV</t>
        </is>
      </c>
    </row>
    <row r="105">
      <c r="A105" s="0" t="inlineStr">
        <is>
          <t>测试TRIM=-15707: 测量电压=3299.64mV</t>
        </is>
      </c>
    </row>
    <row r="106">
      <c r="A106" s="0" t="inlineStr">
        <is>
          <t>测试TRIM=-15706: 测量电压=3299.63mV</t>
        </is>
      </c>
    </row>
    <row r="107">
      <c r="A107" s="0" t="inlineStr">
        <is>
          <t>初始VREFA测量值: 3299.60mV</t>
        </is>
      </c>
    </row>
    <row r="108">
      <c r="A108" s="0" t="inlineStr">
        <is>
          <t>初始VREFB测量值: 3299.54mV</t>
        </is>
      </c>
    </row>
    <row r="109">
      <c r="A109" s="0" t="inlineStr">
        <is>
          <t>best_trim: -11633</t>
        </is>
      </c>
    </row>
    <row r="110">
      <c r="A110" s="0" t="inlineStr">
        <is>
          <t>测试TRIM=-11638: 测量电压=3299.62mV</t>
        </is>
      </c>
    </row>
    <row r="111">
      <c r="A111" s="0" t="inlineStr">
        <is>
          <t>测试TRIM=-11637: 测量电压=3299.56mV</t>
        </is>
      </c>
    </row>
    <row r="112">
      <c r="A112" s="0" t="inlineStr">
        <is>
          <t>测试TRIM=-11636: 测量电压=3299.60mV</t>
        </is>
      </c>
    </row>
    <row r="113">
      <c r="A113" s="0" t="inlineStr">
        <is>
          <t>测试TRIM=-11635: 测量电压=3299.59mV</t>
        </is>
      </c>
    </row>
    <row r="114">
      <c r="A114" s="0" t="inlineStr">
        <is>
          <t>测试TRIM=-11634: 测量电压=3299.56mV</t>
        </is>
      </c>
    </row>
    <row r="115">
      <c r="A115" s="0" t="inlineStr">
        <is>
          <t>测试TRIM=-11633: 测量电压=3299.57mV</t>
        </is>
      </c>
    </row>
    <row r="116">
      <c r="A116" s="0" t="inlineStr">
        <is>
          <t>测试TRIM=-11632: 测量电压=3299.55mV</t>
        </is>
      </c>
    </row>
    <row r="117">
      <c r="A117" s="0" t="inlineStr">
        <is>
          <t>测试TRIM=-11631: 测量电压=3299.60mV</t>
        </is>
      </c>
    </row>
    <row r="118">
      <c r="A118" s="0" t="inlineStr">
        <is>
          <t>测试TRIM=-11630: 测量电压=3299.65mV</t>
        </is>
      </c>
    </row>
    <row r="119">
      <c r="A119" s="0" t="inlineStr">
        <is>
          <t>测试TRIM=-11629: 测量电压=3299.61mV</t>
        </is>
      </c>
    </row>
    <row r="120">
      <c r="A120" s="0" t="inlineStr">
        <is>
          <t>初始VREFA测量值: 3300.76mV</t>
        </is>
      </c>
    </row>
    <row r="121">
      <c r="A121" s="0" t="inlineStr">
        <is>
          <t>初始VREFB测量值: 3300.79mV</t>
        </is>
      </c>
    </row>
    <row r="122">
      <c r="A122" s="0" t="inlineStr">
        <is>
          <t>best_trim: 23767</t>
        </is>
      </c>
    </row>
    <row r="123">
      <c r="A123" s="0" t="inlineStr">
        <is>
          <t>测试TRIM=23762: 测量电压=3300.83mV</t>
        </is>
      </c>
    </row>
    <row r="124">
      <c r="A124" s="0" t="inlineStr">
        <is>
          <t>测试TRIM=23763: 测量电压=3300.85mV</t>
        </is>
      </c>
    </row>
    <row r="125">
      <c r="A125" s="0" t="inlineStr">
        <is>
          <t>测试TRIM=23764: 测量电压=3300.81mV</t>
        </is>
      </c>
    </row>
    <row r="126">
      <c r="A126" s="0" t="inlineStr">
        <is>
          <t>测试TRIM=23765: 测量电压=3300.87mV</t>
        </is>
      </c>
    </row>
    <row r="127">
      <c r="A127" s="0" t="inlineStr">
        <is>
          <t>测试TRIM=23766: 测量电压=3300.77mV</t>
        </is>
      </c>
    </row>
    <row r="128">
      <c r="A128" s="0" t="inlineStr">
        <is>
          <t>测试TRIM=23767: 测量电压=3300.85mV</t>
        </is>
      </c>
    </row>
    <row r="129">
      <c r="A129" s="0" t="inlineStr">
        <is>
          <t>测试TRIM=23768: 测量电压=3300.83mV</t>
        </is>
      </c>
    </row>
    <row r="130">
      <c r="A130" s="0" t="inlineStr">
        <is>
          <t>测试TRIM=23769: 测量电压=3300.77mV</t>
        </is>
      </c>
    </row>
    <row r="131">
      <c r="A131" s="0" t="inlineStr">
        <is>
          <t>测试TRIM=23770: 测量电压=3300.82mV</t>
        </is>
      </c>
    </row>
    <row r="132">
      <c r="A132" s="0" t="inlineStr">
        <is>
          <t>测试TRIM=23771: 测量电压=3300.76mV</t>
        </is>
      </c>
    </row>
    <row r="133">
      <c r="A133" s="0" t="inlineStr">
        <is>
          <t>初始VREFA测量值: 3300.97mV</t>
        </is>
      </c>
    </row>
    <row r="134">
      <c r="A134" s="0" t="inlineStr">
        <is>
          <t>初始VREFB测量值: 3300.95mV</t>
        </is>
      </c>
    </row>
    <row r="135">
      <c r="A135" s="0" t="inlineStr">
        <is>
          <t>best_trim: -32988</t>
        </is>
      </c>
    </row>
    <row r="136">
      <c r="A136" s="0" t="inlineStr">
        <is>
          <t>测试TRIM=-5: 测量电压=3300.88mV</t>
        </is>
      </c>
    </row>
    <row r="137">
      <c r="A137" s="0" t="inlineStr">
        <is>
          <t>测试TRIM=-4: 测量电压=3301.01mV</t>
        </is>
      </c>
    </row>
    <row r="138">
      <c r="A138" s="0" t="inlineStr">
        <is>
          <t>测试TRIM=-3: 测量电压=3300.93mV</t>
        </is>
      </c>
    </row>
    <row r="139">
      <c r="A139" s="0" t="inlineStr">
        <is>
          <t>测试TRIM=-2: 测量电压=3300.91mV</t>
        </is>
      </c>
    </row>
    <row r="140">
      <c r="A140" s="0" t="inlineStr">
        <is>
          <t>测试TRIM=-1: 测量电压=3300.96mV</t>
        </is>
      </c>
    </row>
    <row r="141">
      <c r="A141" s="0" t="inlineStr">
        <is>
          <t>测试TRIM=0: 测量电压=3300.96mV</t>
        </is>
      </c>
    </row>
    <row r="142">
      <c r="A142" s="0" t="inlineStr">
        <is>
          <t>测试TRIM=1: 测量电压=3300.92mV</t>
        </is>
      </c>
    </row>
    <row r="143">
      <c r="A143" s="0" t="inlineStr">
        <is>
          <t>测试TRIM=2: 测量电压=3300.96mV</t>
        </is>
      </c>
    </row>
    <row r="144">
      <c r="A144" s="0" t="inlineStr">
        <is>
          <t>测试TRIM=3: 测量电压=3300.93mV</t>
        </is>
      </c>
    </row>
    <row r="145">
      <c r="A145" s="0" t="inlineStr">
        <is>
          <t>测试TRIM=4: 测量电压=3301.00mV</t>
        </is>
      </c>
    </row>
    <row r="146">
      <c r="A146" s="0" t="inlineStr">
        <is>
          <t>初始VREFA测量值: 3299.53mV</t>
        </is>
      </c>
    </row>
    <row r="147">
      <c r="A147" s="0" t="inlineStr">
        <is>
          <t>初始VREFB测量值: 3299.53mV</t>
        </is>
      </c>
    </row>
    <row r="148">
      <c r="A148" s="0" t="inlineStr">
        <is>
          <t>best_trim: -424493</t>
        </is>
      </c>
    </row>
    <row r="149">
      <c r="A149" s="0" t="inlineStr">
        <is>
          <t>测试TRIM=-5: 测量电压=3299.53mV</t>
        </is>
      </c>
    </row>
    <row r="150">
      <c r="A150" s="0" t="inlineStr">
        <is>
          <t>测试TRIM=-4: 测量电压=3299.55mV</t>
        </is>
      </c>
    </row>
    <row r="151">
      <c r="A151" s="0" t="inlineStr">
        <is>
          <t>测试TRIM=-3: 测量电压=3299.51mV</t>
        </is>
      </c>
    </row>
    <row r="152">
      <c r="A152" s="0" t="inlineStr">
        <is>
          <t>测试TRIM=-2: 测量电压=3299.51mV</t>
        </is>
      </c>
    </row>
    <row r="153">
      <c r="A153" s="0" t="inlineStr">
        <is>
          <t>测试TRIM=-1: 测量电压=3299.54mV</t>
        </is>
      </c>
    </row>
    <row r="154">
      <c r="A154" s="0" t="inlineStr">
        <is>
          <t>测试TRIM=0: 测量电压=3299.54mV</t>
        </is>
      </c>
    </row>
    <row r="155">
      <c r="A155" s="0" t="inlineStr">
        <is>
          <t>测试TRIM=1: 测量电压=3299.57mV</t>
        </is>
      </c>
    </row>
    <row r="156">
      <c r="A156" s="0" t="inlineStr">
        <is>
          <t>测试TRIM=2: 测量电压=3299.44mV</t>
        </is>
      </c>
    </row>
    <row r="157">
      <c r="A157" s="0" t="inlineStr">
        <is>
          <t>测试TRIM=3: 测量电压=3299.52mV</t>
        </is>
      </c>
    </row>
    <row r="158">
      <c r="A158" s="0" t="inlineStr">
        <is>
          <t>测试TRIM=4: 测量电压=3299.54mV</t>
        </is>
      </c>
    </row>
    <row r="159">
      <c r="A159" s="0" t="inlineStr">
        <is>
          <t>初始VREFA测量值: 3301.12mV</t>
        </is>
      </c>
    </row>
    <row r="160">
      <c r="A160" s="0" t="inlineStr">
        <is>
          <t>初始VREFB测量值: 3301.18mV</t>
        </is>
      </c>
    </row>
    <row r="161">
      <c r="A161" s="0" t="inlineStr">
        <is>
          <t>best_trim: 11867</t>
        </is>
      </c>
    </row>
    <row r="162">
      <c r="A162" s="0" t="inlineStr">
        <is>
          <t>测试TRIM=58: 测量电压=3301.13mV</t>
        </is>
      </c>
    </row>
    <row r="163">
      <c r="A163" s="0" t="inlineStr">
        <is>
          <t>测试TRIM=59: 测量电压=3301.23mV</t>
        </is>
      </c>
    </row>
    <row r="164">
      <c r="A164" s="0" t="inlineStr">
        <is>
          <t>测试TRIM=60: 测量电压=3301.18mV</t>
        </is>
      </c>
    </row>
    <row r="165">
      <c r="A165" s="0" t="inlineStr">
        <is>
          <t>测试TRIM=61: 测量电压=3301.16mV</t>
        </is>
      </c>
    </row>
    <row r="166">
      <c r="A166" s="0" t="inlineStr">
        <is>
          <t>测试TRIM=62: 测量电压=3301.18mV</t>
        </is>
      </c>
    </row>
    <row r="167">
      <c r="A167" s="0" t="inlineStr">
        <is>
          <t>测试TRIM=63: 测量电压=3301.19mV</t>
        </is>
      </c>
    </row>
    <row r="168">
      <c r="A168" s="0" t="inlineStr">
        <is>
          <t>测试TRIM=64: 测量电压=3301.23mV</t>
        </is>
      </c>
    </row>
    <row r="169">
      <c r="A169" s="0" t="inlineStr">
        <is>
          <t>测试TRIM=65: 测量电压=3301.20mV</t>
        </is>
      </c>
    </row>
    <row r="170">
      <c r="A170" s="0" t="inlineStr">
        <is>
          <t>测试TRIM=66: 测量电压=3301.11mV</t>
        </is>
      </c>
    </row>
    <row r="171">
      <c r="A171" s="0" t="inlineStr">
        <is>
          <t>测试TRIM=67: 测量电压=3301.13mV</t>
        </is>
      </c>
    </row>
    <row r="172">
      <c r="A172" s="0" t="inlineStr">
        <is>
          <t>初始VREFA测量值: 3301.17mV</t>
        </is>
      </c>
    </row>
    <row r="173">
      <c r="A173" s="0" t="inlineStr">
        <is>
          <t>初始VREFB测量值: 3301.10mV</t>
        </is>
      </c>
    </row>
    <row r="174">
      <c r="A174" s="0" t="inlineStr">
        <is>
          <t>best_trim: -9498</t>
        </is>
      </c>
    </row>
    <row r="175">
      <c r="A175" s="0" t="inlineStr">
        <is>
          <t>测试TRIM=-5: 测量电压=3301.15mV</t>
        </is>
      </c>
    </row>
    <row r="176">
      <c r="A176" s="0" t="inlineStr">
        <is>
          <t>测试TRIM=-4: 测量电压=3300.93mV</t>
        </is>
      </c>
    </row>
    <row r="177">
      <c r="A177" s="0" t="inlineStr">
        <is>
          <t>测试TRIM=-3: 测量电压=3301.20mV</t>
        </is>
      </c>
    </row>
    <row r="178">
      <c r="A178" s="0" t="inlineStr">
        <is>
          <t>测试TRIM=-2: 测量电压=3301.15mV</t>
        </is>
      </c>
    </row>
    <row r="179">
      <c r="A179" s="0" t="inlineStr">
        <is>
          <t>测试TRIM=-1: 测量电压=3301.11mV</t>
        </is>
      </c>
    </row>
    <row r="180">
      <c r="A180" s="0" t="inlineStr">
        <is>
          <t>测试TRIM=0: 测量电压=3301.13mV</t>
        </is>
      </c>
    </row>
    <row r="181">
      <c r="A181" s="0" t="inlineStr">
        <is>
          <t>测试TRIM=1: 测量电压=3300.89mV</t>
        </is>
      </c>
    </row>
    <row r="182">
      <c r="A182" s="0" t="inlineStr">
        <is>
          <t>测试TRIM=2: 测量电压=3301.06mV</t>
        </is>
      </c>
    </row>
    <row r="183">
      <c r="A183" s="0" t="inlineStr">
        <is>
          <t>测试TRIM=3: 测量电压=3301.13mV</t>
        </is>
      </c>
    </row>
    <row r="184">
      <c r="A184" s="0" t="inlineStr">
        <is>
          <t>测试TRIM=4: 测量电压=3301.17mV</t>
        </is>
      </c>
    </row>
    <row r="185">
      <c r="A185" s="0" t="inlineStr">
        <is>
          <t>初始VREFA测量值: 3995.22mV</t>
        </is>
      </c>
    </row>
    <row r="186">
      <c r="A186" s="0" t="inlineStr">
        <is>
          <t>初始VREFB测量值: 4002.45mV</t>
        </is>
      </c>
    </row>
    <row r="187">
      <c r="A187" s="0" t="inlineStr">
        <is>
          <t>best_trim: 33</t>
        </is>
      </c>
    </row>
    <row r="188">
      <c r="A188" s="0" t="inlineStr">
        <is>
          <t>测试TRIM=28: 测量电压=3956.76mV</t>
        </is>
      </c>
    </row>
    <row r="189">
      <c r="A189" s="0" t="inlineStr">
        <is>
          <t>测试TRIM=29: 测量电压=3965.54mV</t>
        </is>
      </c>
    </row>
    <row r="190">
      <c r="A190" s="0" t="inlineStr">
        <is>
          <t>测试TRIM=30: 测量电压=3975.29mV</t>
        </is>
      </c>
    </row>
    <row r="191">
      <c r="A191" s="0" t="inlineStr">
        <is>
          <t>测试TRIM=31: 测量电压=3984.86mV</t>
        </is>
      </c>
    </row>
    <row r="192">
      <c r="A192" s="0" t="inlineStr">
        <is>
          <t>测试TRIM=32: 测量电压=3995.44mV</t>
        </is>
      </c>
    </row>
    <row r="193">
      <c r="A193" s="0" t="inlineStr">
        <is>
          <t>测试TRIM=33: 测量电压=4002.96mV</t>
        </is>
      </c>
    </row>
    <row r="194">
      <c r="A194" s="0" t="inlineStr">
        <is>
          <t>测试TRIM=34: 测量电压=4013.40mV</t>
        </is>
      </c>
    </row>
    <row r="195">
      <c r="A195" s="0" t="inlineStr">
        <is>
          <t>测试TRIM=35: 测量电压=4021.08mV</t>
        </is>
      </c>
    </row>
    <row r="196">
      <c r="A196" s="0" t="inlineStr">
        <is>
          <t>测试TRIM=36: 测量电压=4031.65mV</t>
        </is>
      </c>
    </row>
    <row r="197">
      <c r="A197" s="0" t="inlineStr">
        <is>
          <t>测试TRIM=37: 测量电压=4039.21mV</t>
        </is>
      </c>
    </row>
    <row r="198">
      <c r="A198" s="0" t="inlineStr">
        <is>
          <t>初始VREFA测量值: 3995.61mV</t>
        </is>
      </c>
    </row>
    <row r="199">
      <c r="A199" s="0" t="inlineStr">
        <is>
          <t>初始VREFB测量值: 4002.41mV</t>
        </is>
      </c>
    </row>
    <row r="200">
      <c r="A200" s="0" t="inlineStr">
        <is>
          <t>best_trim: 33</t>
        </is>
      </c>
    </row>
    <row r="201">
      <c r="A201" s="0" t="inlineStr">
        <is>
          <t>测试TRIM=28: 测量电压=3956.07mV</t>
        </is>
      </c>
    </row>
    <row r="202">
      <c r="A202" s="0" t="inlineStr">
        <is>
          <t>测试TRIM=29: 测量电压=3964.73mV</t>
        </is>
      </c>
    </row>
    <row r="203">
      <c r="A203" s="0" t="inlineStr">
        <is>
          <t>测试TRIM=30: 测量电压=3975.45mV</t>
        </is>
      </c>
    </row>
    <row r="204">
      <c r="A204" s="0" t="inlineStr">
        <is>
          <t>测试TRIM=31: 测量电压=3984.39mV</t>
        </is>
      </c>
    </row>
    <row r="205">
      <c r="A205" s="0" t="inlineStr">
        <is>
          <t>测试TRIM=32: 测量电压=3995.40mV</t>
        </is>
      </c>
    </row>
    <row r="206">
      <c r="A206" s="0" t="inlineStr">
        <is>
          <t>测试TRIM=33: 测量电压=4002.75mV</t>
        </is>
      </c>
    </row>
    <row r="207">
      <c r="A207" s="0" t="inlineStr">
        <is>
          <t>测试TRIM=34: 测量电压=4010.87mV</t>
        </is>
      </c>
    </row>
    <row r="208">
      <c r="A208" s="0" t="inlineStr">
        <is>
          <t>测试TRIM=35: 测量电压=4020.67mV</t>
        </is>
      </c>
    </row>
    <row r="209">
      <c r="A209" s="0" t="inlineStr">
        <is>
          <t>测试TRIM=36: 测量电压=4032.34mV</t>
        </is>
      </c>
    </row>
    <row r="210">
      <c r="A210" s="0" t="inlineStr">
        <is>
          <t>测试TRIM=37: 测量电压=4039.37mV</t>
        </is>
      </c>
    </row>
    <row r="211">
      <c r="A211" s="0" t="inlineStr">
        <is>
          <t>初始VREFA测量值: 3994.47mV</t>
        </is>
      </c>
    </row>
    <row r="212">
      <c r="A212" s="0" t="inlineStr">
        <is>
          <t>初始VREFB测量值: 4001.72mV</t>
        </is>
      </c>
    </row>
    <row r="213">
      <c r="A213" s="0" t="inlineStr">
        <is>
          <t>best_trim: 33</t>
        </is>
      </c>
    </row>
    <row r="214">
      <c r="A214" s="0" t="inlineStr">
        <is>
          <t>测试TRIM=28: 测量电压=3956.10mV</t>
        </is>
      </c>
    </row>
    <row r="215">
      <c r="A215" s="0" t="inlineStr">
        <is>
          <t>测试TRIM=29: 测量电压=3963.59mV</t>
        </is>
      </c>
    </row>
    <row r="216">
      <c r="A216" s="0" t="inlineStr">
        <is>
          <t>测试TRIM=30: 测量电压=3974.01mV</t>
        </is>
      </c>
    </row>
    <row r="217">
      <c r="A217" s="0" t="inlineStr">
        <is>
          <t>测试TRIM=31: 测量电压=3984.14mV</t>
        </is>
      </c>
    </row>
    <row r="218">
      <c r="A218" s="0" t="inlineStr">
        <is>
          <t>测试TRIM=32: 测量电压=3994.68mV</t>
        </is>
      </c>
    </row>
    <row r="219">
      <c r="A219" s="0" t="inlineStr">
        <is>
          <t>测试TRIM=33: 测量电压=4001.21mV</t>
        </is>
      </c>
    </row>
    <row r="220">
      <c r="A220" s="0" t="inlineStr">
        <is>
          <t>测试TRIM=34: 测量电压=4011.52mV</t>
        </is>
      </c>
    </row>
    <row r="221">
      <c r="A221" s="0" t="inlineStr">
        <is>
          <t>测试TRIM=35: 测量电压=4019.66mV</t>
        </is>
      </c>
    </row>
    <row r="222">
      <c r="A222" s="0" t="inlineStr">
        <is>
          <t>测试TRIM=36: 测量电压=4030.93mV</t>
        </is>
      </c>
    </row>
    <row r="223">
      <c r="A223" s="0" t="inlineStr">
        <is>
          <t>测试TRIM=37: 测量电压=4037.42mV</t>
        </is>
      </c>
    </row>
    <row r="224">
      <c r="A224" s="0" t="inlineStr">
        <is>
          <t>初始VREFA测量值: 3993.08mV</t>
        </is>
      </c>
    </row>
    <row r="225">
      <c r="A225" s="0" t="inlineStr">
        <is>
          <t>初始VREFB测量值: 3999.93mV</t>
        </is>
      </c>
    </row>
    <row r="226">
      <c r="A226" s="0" t="inlineStr">
        <is>
          <t>best_trim: 33</t>
        </is>
      </c>
    </row>
    <row r="227">
      <c r="A227" s="0" t="inlineStr">
        <is>
          <t>测试TRIM=28: 测量电压=3954.49mV</t>
        </is>
      </c>
    </row>
    <row r="228">
      <c r="A228" s="0" t="inlineStr">
        <is>
          <t>测试TRIM=29: 测量电压=3963.66mV</t>
        </is>
      </c>
    </row>
    <row r="229">
      <c r="A229" s="0" t="inlineStr">
        <is>
          <t>测试TRIM=30: 测量电压=3973.83mV</t>
        </is>
      </c>
    </row>
    <row r="230">
      <c r="A230" s="0" t="inlineStr">
        <is>
          <t>测试TRIM=31: 测量电压=3983.13mV</t>
        </is>
      </c>
    </row>
    <row r="231">
      <c r="A231" s="0" t="inlineStr">
        <is>
          <t>测试TRIM=32: 测量电压=3993.60mV</t>
        </is>
      </c>
    </row>
    <row r="232">
      <c r="A232" s="0" t="inlineStr">
        <is>
          <t>测试TRIM=33: 测量电压=4000.49mV</t>
        </is>
      </c>
    </row>
    <row r="233">
      <c r="A233" s="0" t="inlineStr">
        <is>
          <t>测试TRIM=34: 测量电压=4010.79mV</t>
        </is>
      </c>
    </row>
    <row r="234">
      <c r="A234" s="0" t="inlineStr">
        <is>
          <t>测试TRIM=35: 测量电压=4018.70mV</t>
        </is>
      </c>
    </row>
    <row r="235">
      <c r="A235" s="0" t="inlineStr">
        <is>
          <t>测试TRIM=36: 测量电压=4029.47mV</t>
        </is>
      </c>
    </row>
    <row r="236">
      <c r="A236" s="0" t="inlineStr">
        <is>
          <t>测试TRIM=37: 测量电压=4036.62mV</t>
        </is>
      </c>
    </row>
    <row r="237">
      <c r="A237" s="0" t="inlineStr">
        <is>
          <t>初始VREFA测量值: 3922.50mV</t>
        </is>
      </c>
    </row>
    <row r="238">
      <c r="A238" s="0" t="inlineStr">
        <is>
          <t>初始VREFB测量值: 3928.55mV</t>
        </is>
      </c>
    </row>
    <row r="239">
      <c r="A239" s="0" t="inlineStr">
        <is>
          <t>best_trim: 45</t>
        </is>
      </c>
    </row>
    <row r="240">
      <c r="A240" s="0" t="inlineStr">
        <is>
          <t>测试TRIM=40: 测量电压=3995.45mV</t>
        </is>
      </c>
    </row>
    <row r="241">
      <c r="A241" s="0" t="inlineStr">
        <is>
          <t>测试TRIM=41: 测量电压=4001.74mV</t>
        </is>
      </c>
    </row>
    <row r="242">
      <c r="A242" s="0" t="inlineStr">
        <is>
          <t>测试TRIM=42: 测量电压=4011.65mV</t>
        </is>
      </c>
    </row>
    <row r="243">
      <c r="A243" s="0" t="inlineStr">
        <is>
          <t>测试TRIM=43: 测量电压=4020.26mV</t>
        </is>
      </c>
    </row>
    <row r="244">
      <c r="A244" s="0" t="inlineStr">
        <is>
          <t>测试TRIM=44: 测量电压=4031.78mV</t>
        </is>
      </c>
    </row>
    <row r="245">
      <c r="A245" s="0" t="inlineStr">
        <is>
          <t>测试TRIM=45: 测量电压=4039.60mV</t>
        </is>
      </c>
    </row>
    <row r="246">
      <c r="A246" s="0" t="inlineStr">
        <is>
          <t>测试TRIM=46: 测量电压=4049.84mV</t>
        </is>
      </c>
    </row>
    <row r="247">
      <c r="A247" s="0" t="inlineStr">
        <is>
          <t>测试TRIM=47: 测量电压=4058.87mV</t>
        </is>
      </c>
    </row>
    <row r="248">
      <c r="A248" s="0" t="inlineStr">
        <is>
          <t>测试TRIM=48: 测量电压=4071.98mV</t>
        </is>
      </c>
    </row>
    <row r="249">
      <c r="A249" s="0" t="inlineStr">
        <is>
          <t>测试TRIM=49: 测量电压=4078.30mV</t>
        </is>
      </c>
    </row>
    <row r="250">
      <c r="A250" s="0" t="inlineStr">
        <is>
          <t>初始VREFA测量值: 3921.81mV</t>
        </is>
      </c>
    </row>
    <row r="251">
      <c r="A251" s="0" t="inlineStr">
        <is>
          <t>初始VREFB测量值: 3928.30mV</t>
        </is>
      </c>
    </row>
    <row r="252">
      <c r="A252" s="0" t="inlineStr">
        <is>
          <t>best_trim: 44</t>
        </is>
      </c>
    </row>
    <row r="253">
      <c r="A253" s="0" t="inlineStr">
        <is>
          <t>测试TRIM=39: 测量电压=3983.10mV</t>
        </is>
      </c>
    </row>
    <row r="254">
      <c r="A254" s="0" t="inlineStr">
        <is>
          <t>测试TRIM=40: 测量电压=3995.55mV</t>
        </is>
      </c>
    </row>
    <row r="255">
      <c r="A255" s="0" t="inlineStr">
        <is>
          <t>测试TRIM=41: 测量电压=4002.15mV</t>
        </is>
      </c>
    </row>
    <row r="256">
      <c r="A256" s="0" t="inlineStr">
        <is>
          <t>测试TRIM=42: 测量电压=4012.05mV</t>
        </is>
      </c>
    </row>
    <row r="257">
      <c r="A257" s="0" t="inlineStr">
        <is>
          <t>测试TRIM=43: 测量电压=4020.50mV</t>
        </is>
      </c>
    </row>
    <row r="258">
      <c r="A258" s="0" t="inlineStr">
        <is>
          <t>测试TRIM=44: 测量电压=4032.24mV</t>
        </is>
      </c>
    </row>
    <row r="259">
      <c r="A259" s="0" t="inlineStr">
        <is>
          <t>测试TRIM=45: 测量电压=4038.95mV</t>
        </is>
      </c>
    </row>
    <row r="260">
      <c r="A260" s="0" t="inlineStr">
        <is>
          <t>测试TRIM=46: 测量电压=4049.58mV</t>
        </is>
      </c>
    </row>
    <row r="261">
      <c r="A261" s="0" t="inlineStr">
        <is>
          <t>测试TRIM=47: 测量电压=4058.93mV</t>
        </is>
      </c>
    </row>
    <row r="262">
      <c r="A262" s="0" t="inlineStr">
        <is>
          <t>测试TRIM=48: 测量电压=4071.49mV</t>
        </is>
      </c>
    </row>
    <row r="263">
      <c r="A263" s="0" t="inlineStr">
        <is>
          <t>初始VREFA测量值: 3921.88mV</t>
        </is>
      </c>
    </row>
    <row r="264">
      <c r="A264" s="0" t="inlineStr">
        <is>
          <t>初始VREFB测量值: 3928.57mV</t>
        </is>
      </c>
    </row>
    <row r="265">
      <c r="A265" s="0" t="inlineStr">
        <is>
          <t>best_trim: 44</t>
        </is>
      </c>
    </row>
    <row r="266">
      <c r="A266" s="0" t="inlineStr">
        <is>
          <t>测试TRIM=39: 测量电压=3982.93mV</t>
        </is>
      </c>
    </row>
    <row r="267">
      <c r="A267" s="0" t="inlineStr">
        <is>
          <t>测试TRIM=40: 测量电压=3995.04mV</t>
        </is>
      </c>
    </row>
    <row r="268">
      <c r="A268" s="0" t="inlineStr">
        <is>
          <t>测试TRIM=41: 测量电压=4002.10mV</t>
        </is>
      </c>
    </row>
    <row r="269">
      <c r="A269" s="0" t="inlineStr">
        <is>
          <t>测试TRIM=42: 测量电压=4011.78mV</t>
        </is>
      </c>
    </row>
    <row r="270">
      <c r="A270" s="0" t="inlineStr">
        <is>
          <t>测试TRIM=43: 测量电压=4020.11mV</t>
        </is>
      </c>
    </row>
    <row r="271">
      <c r="A271" s="0" t="inlineStr">
        <is>
          <t>测试TRIM=44: 测量电压=4031.45mV</t>
        </is>
      </c>
    </row>
    <row r="272">
      <c r="A272" s="0" t="inlineStr">
        <is>
          <t>测试TRIM=45: 测量电压=4038.41mV</t>
        </is>
      </c>
    </row>
    <row r="273">
      <c r="A273" s="0" t="inlineStr">
        <is>
          <t>测试TRIM=46: 测量电压=4048.83mV</t>
        </is>
      </c>
    </row>
    <row r="274">
      <c r="A274" s="0" t="inlineStr">
        <is>
          <t>测试TRIM=47: 测量电压=4058.42mV</t>
        </is>
      </c>
    </row>
    <row r="275">
      <c r="A275" s="0" t="inlineStr">
        <is>
          <t>测试TRIM=48: 测量电压=4071.21mV</t>
        </is>
      </c>
    </row>
    <row r="276">
      <c r="A276" s="0" t="inlineStr">
        <is>
          <t>初始VREFA测量值: 3922.14mV</t>
        </is>
      </c>
    </row>
    <row r="277">
      <c r="A277" s="0" t="inlineStr">
        <is>
          <t>初始VREFB测量值: 3929.23mV</t>
        </is>
      </c>
    </row>
    <row r="278">
      <c r="A278" s="0" t="inlineStr">
        <is>
          <t>best_trim: 43</t>
        </is>
      </c>
    </row>
    <row r="279">
      <c r="A279" s="0" t="inlineStr">
        <is>
          <t>测试TRIM=38: 测量电压=3975.19mV</t>
        </is>
      </c>
    </row>
    <row r="280">
      <c r="A280" s="0" t="inlineStr">
        <is>
          <t>测试TRIM=39: 测量电压=3983.86mV</t>
        </is>
      </c>
    </row>
    <row r="281">
      <c r="A281" s="0" t="inlineStr">
        <is>
          <t>测试TRIM=40: 测量电压=3994.72mV</t>
        </is>
      </c>
    </row>
    <row r="282">
      <c r="A282" s="0" t="inlineStr">
        <is>
          <t>测试TRIM=41: 测量电压=4002.28mV</t>
        </is>
      </c>
    </row>
    <row r="283">
      <c r="A283" s="0" t="inlineStr">
        <is>
          <t>测试TRIM=42: 测量电压=4011.54mV</t>
        </is>
      </c>
    </row>
    <row r="284">
      <c r="A284" s="0" t="inlineStr">
        <is>
          <t>测试TRIM=43: 测量电压=4020.02mV</t>
        </is>
      </c>
    </row>
    <row r="285">
      <c r="A285" s="0" t="inlineStr">
        <is>
          <t>测试TRIM=44: 测量电压=4031.10mV</t>
        </is>
      </c>
    </row>
    <row r="286">
      <c r="A286" s="0" t="inlineStr">
        <is>
          <t>测试TRIM=45: 测量电压=4038.26mV</t>
        </is>
      </c>
    </row>
    <row r="287">
      <c r="A287" s="0" t="inlineStr">
        <is>
          <t>测试TRIM=46: 测量电压=4049.53mV</t>
        </is>
      </c>
    </row>
    <row r="288">
      <c r="A288" s="0" t="inlineStr">
        <is>
          <t>测试TRIM=47: 测量电压=4058.58mV</t>
        </is>
      </c>
    </row>
    <row r="289">
      <c r="A289" s="0" t="inlineStr">
        <is>
          <t>初始VREFA测量值: 3921.03mV</t>
        </is>
      </c>
    </row>
    <row r="290">
      <c r="A290" s="0" t="inlineStr">
        <is>
          <t>初始VREFB测量值: 3927.50mV</t>
        </is>
      </c>
    </row>
    <row r="291">
      <c r="A291" s="0" t="inlineStr">
        <is>
          <t>best_trim: 44</t>
        </is>
      </c>
    </row>
    <row r="292">
      <c r="A292" s="0" t="inlineStr">
        <is>
          <t>测试TRIM=39: 测量电压=3982.31mV</t>
        </is>
      </c>
    </row>
    <row r="293">
      <c r="A293" s="0" t="inlineStr">
        <is>
          <t>测试TRIM=40: 测量电压=3993.85mV</t>
        </is>
      </c>
    </row>
    <row r="294">
      <c r="A294" s="0" t="inlineStr">
        <is>
          <t>测试TRIM=41: 测量电压=4000.95mV</t>
        </is>
      </c>
    </row>
    <row r="295">
      <c r="A295" s="0" t="inlineStr">
        <is>
          <t>测试TRIM=42: 测量电压=4010.50mV</t>
        </is>
      </c>
    </row>
    <row r="296">
      <c r="A296" s="0" t="inlineStr">
        <is>
          <t>测试TRIM=43: 测量电压=4019.22mV</t>
        </is>
      </c>
    </row>
    <row r="297">
      <c r="A297" s="0" t="inlineStr">
        <is>
          <t>测试TRIM=44: 测量电压=4030.40mV</t>
        </is>
      </c>
    </row>
    <row r="298">
      <c r="A298" s="0" t="inlineStr">
        <is>
          <t>测试TRIM=45: 测量电压=4037.91mV</t>
        </is>
      </c>
    </row>
    <row r="299">
      <c r="A299" s="0" t="inlineStr">
        <is>
          <t>测试TRIM=46: 测量电压=4048.10mV</t>
        </is>
      </c>
    </row>
    <row r="300">
      <c r="A300" s="0" t="inlineStr">
        <is>
          <t>测试TRIM=47: 测量电压=4057.90mV</t>
        </is>
      </c>
    </row>
    <row r="301">
      <c r="A301" s="0" t="inlineStr">
        <is>
          <t>测试TRIM=48: 测量电压=4070.23mV</t>
        </is>
      </c>
    </row>
  </sheetData>
  <mergeCells count="1">
    <mergeCell ref="A1:XF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2026-07-28T02:40:26Z</dcterms:modified>
  <cp:lastModifiedBy>额额额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D38DB39E2ACC4BE4B99AA9207C58F7B0_13</vt:lpwstr>
  </property>
  <property name="CalculationRule" fmtid="{D5CDD505-2E9C-101B-9397-08002B2CF9AE}" pid="4">
    <vt:i4 xmlns:vt="http://schemas.openxmlformats.org/officeDocument/2006/docPropsVTypes">0</vt:i4>
  </property>
</Properties>
</file>
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_bench\code\OCD5010_information\验证测试资料\"/>
    </mc:Choice>
  </mc:AlternateContent>
  <bookViews>
    <workbookView windowWidth="22188" windowHeight="9060"/>
  </bookViews>
  <sheets>
    <sheet name="模拟寄存器" sheetId="1" r:id="rId1"/>
    <sheet name="数模接口信号" sheetId="2" r:id="rId2"/>
    <sheet name="GPIO接口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<sst xmlns="http://schemas.openxmlformats.org/spreadsheetml/2006/main" count="731" uniqueCount="514">
  <si>
    <t>Add.</t>
  </si>
  <si>
    <t xml:space="preserve"> Register Name</t>
  </si>
  <si>
    <t xml:space="preserve"> Bits</t>
  </si>
  <si>
    <t>Default Value</t>
  </si>
  <si>
    <t>Description</t>
  </si>
  <si>
    <r>
      <t>基地址：</t>
    </r>
    <r>
      <rPr>
        <sz val="11"/>
        <color rgb="FF000000"/>
        <rFont val="Times New Roman"/>
        <charset val="134"/>
      </rPr>
      <t>0x40007C00</t>
    </r>
  </si>
  <si>
    <t>EN  (AON) ----- 0x40007C00</t>
  </si>
  <si>
    <r>
      <rPr>
        <b/>
        <sz val="11"/>
        <color rgb="FF000000"/>
        <rFont val="宋体"/>
        <charset val="134"/>
      </rPr>
      <t>模拟模块使能和模式控制寄存器</t>
    </r>
    <r>
      <rPr>
        <b/>
        <sz val="11"/>
        <color rgb="FFFF0000"/>
        <rFont val="宋体"/>
        <charset val="134"/>
      </rPr>
      <t xml:space="preserve"> </t>
    </r>
    <r>
      <rPr>
        <b/>
        <sz val="11"/>
        <color rgb="FFFF0000"/>
        <rFont val="Times New Roman"/>
        <charset val="134"/>
      </rPr>
      <t>(</t>
    </r>
    <r>
      <rPr>
        <b/>
        <sz val="11"/>
        <color rgb="FFFF0000"/>
        <rFont val="宋体"/>
        <charset val="134"/>
      </rPr>
      <t>重要</t>
    </r>
    <r>
      <rPr>
        <b/>
        <sz val="11"/>
        <color rgb="FFFF0000"/>
        <rFont val="Times New Roman"/>
        <charset val="134"/>
      </rPr>
      <t>***)</t>
    </r>
    <r>
      <rPr>
        <b/>
        <sz val="11"/>
        <color rgb="FF000000"/>
        <rFont val="Times New Roman"/>
        <charset val="134"/>
      </rPr>
      <t xml:space="preserve">
</t>
    </r>
    <r>
      <rPr>
        <b/>
        <sz val="11"/>
        <color rgb="FFFF0000"/>
        <rFont val="Times New Roman"/>
        <charset val="134"/>
      </rPr>
      <t xml:space="preserve"> (</t>
    </r>
    <r>
      <rPr>
        <b/>
        <sz val="11"/>
        <color rgb="FFFF0000"/>
        <rFont val="宋体"/>
        <charset val="134"/>
      </rPr>
      <t>需要工作在</t>
    </r>
    <r>
      <rPr>
        <b/>
        <sz val="11"/>
        <color rgb="FFFF0000"/>
        <rFont val="Times New Roman"/>
        <charset val="134"/>
      </rPr>
      <t>VDD12A</t>
    </r>
    <r>
      <rPr>
        <b/>
        <sz val="11"/>
        <color rgb="FFFF0000"/>
        <rFont val="宋体"/>
        <charset val="134"/>
      </rPr>
      <t>域下</t>
    </r>
    <r>
      <rPr>
        <b/>
        <sz val="11"/>
        <color rgb="FFFF0000"/>
        <rFont val="Times New Roman"/>
        <charset val="134"/>
      </rPr>
      <t>)</t>
    </r>
  </si>
  <si>
    <r>
      <rPr>
        <sz val="11"/>
        <color rgb="FFFF0000"/>
        <rFont val="Times New Roman"/>
        <charset val="134"/>
      </rPr>
      <t xml:space="preserve">RW_ANA_EN 
</t>
    </r>
    <r>
      <rPr>
        <sz val="11"/>
        <color rgb="FFFF0000"/>
        <rFont val="宋体"/>
        <charset val="134"/>
      </rPr>
      <t>（重要）</t>
    </r>
  </si>
  <si>
    <t>1</t>
  </si>
  <si>
    <r>
      <rPr>
        <sz val="11"/>
        <color rgb="FFFF0000"/>
        <rFont val="Times New Roman"/>
        <charset val="134"/>
      </rPr>
      <t xml:space="preserve">RW_ANA_EN </t>
    </r>
    <r>
      <rPr>
        <sz val="11"/>
        <color rgb="FFFF0000"/>
        <rFont val="宋体"/>
        <charset val="134"/>
      </rPr>
      <t xml:space="preserve">可以控制所有带 </t>
    </r>
    <r>
      <rPr>
        <sz val="11"/>
        <color rgb="FFFF0000"/>
        <rFont val="Times New Roman"/>
        <charset val="134"/>
      </rPr>
      <t xml:space="preserve">RW_ANA_* </t>
    </r>
    <r>
      <rPr>
        <sz val="11"/>
        <color rgb="FFFF0000"/>
        <rFont val="宋体"/>
        <charset val="134"/>
      </rPr>
      <t>的模块</t>
    </r>
    <r>
      <rPr>
        <sz val="11"/>
        <color rgb="FFFF0000"/>
        <rFont val="Times New Roman"/>
        <charset val="134"/>
      </rPr>
      <t xml:space="preserve">; 
1: </t>
    </r>
    <r>
      <rPr>
        <sz val="11"/>
        <color rgb="FFFF0000"/>
        <rFont val="宋体"/>
        <charset val="134"/>
      </rPr>
      <t>开启子模块总使能,具体取决子模块是否使能（正常模式）;
0: 关闭所有相关的子模块, 无论子模块是否开启 ( 进入睡眠);</t>
    </r>
    <r>
      <rPr>
        <sz val="11"/>
        <color rgb="FFFF0000"/>
        <rFont val="Times New Roman"/>
        <charset val="134"/>
      </rPr>
      <t xml:space="preserve">
RW_ANA_EN</t>
    </r>
    <r>
      <rPr>
        <sz val="11"/>
        <color rgb="FFFF0000"/>
        <rFont val="宋体"/>
        <charset val="134"/>
      </rPr>
      <t>用于快速切换芯片低功耗模式，进入睡眠或正常模式；</t>
    </r>
  </si>
  <si>
    <r>
      <rPr>
        <sz val="11"/>
        <color rgb="FFFF0000"/>
        <rFont val="Times New Roman"/>
        <charset val="134"/>
      </rPr>
      <t xml:space="preserve">RW_DSLP_EN
</t>
    </r>
    <r>
      <rPr>
        <sz val="11"/>
        <color rgb="FFFF0000"/>
        <rFont val="宋体"/>
        <charset val="134"/>
      </rPr>
      <t>（重要）</t>
    </r>
  </si>
  <si>
    <t>0</t>
  </si>
  <si>
    <r>
      <rPr>
        <sz val="11"/>
        <color rgb="FFFF0000"/>
        <rFont val="宋体"/>
        <charset val="134"/>
      </rPr>
      <t>独立控制 是否进入</t>
    </r>
    <r>
      <rPr>
        <sz val="11"/>
        <color rgb="FFFF0000"/>
        <rFont val="Times New Roman"/>
        <charset val="134"/>
      </rPr>
      <t>Deep Sleep</t>
    </r>
    <r>
      <rPr>
        <sz val="11"/>
        <color rgb="FFFF0000"/>
        <rFont val="宋体"/>
        <charset val="134"/>
      </rPr>
      <t>模式的</t>
    </r>
    <r>
      <rPr>
        <sz val="11"/>
        <color rgb="FFFF0000"/>
        <rFont val="Times New Roman"/>
        <charset val="134"/>
      </rPr>
      <t xml:space="preserve"> </t>
    </r>
    <r>
      <rPr>
        <sz val="11"/>
        <color rgb="FFFF0000"/>
        <rFont val="宋体"/>
        <charset val="134"/>
      </rPr>
      <t>使能</t>
    </r>
    <r>
      <rPr>
        <sz val="11"/>
        <color rgb="FFFF0000"/>
        <rFont val="Times New Roman"/>
        <charset val="134"/>
      </rPr>
      <t xml:space="preserve">:
1: </t>
    </r>
    <r>
      <rPr>
        <sz val="11"/>
        <color rgb="FFFF0000"/>
        <rFont val="宋体"/>
        <charset val="134"/>
      </rPr>
      <t>使能，关闭</t>
    </r>
    <r>
      <rPr>
        <sz val="11"/>
        <color rgb="FFFF0000"/>
        <rFont val="Times New Roman"/>
        <charset val="134"/>
      </rPr>
      <t>VDD12D</t>
    </r>
    <r>
      <rPr>
        <sz val="11"/>
        <color rgb="FFFF0000"/>
        <rFont val="宋体"/>
        <charset val="134"/>
      </rPr>
      <t>的电源，只有</t>
    </r>
    <r>
      <rPr>
        <sz val="11"/>
        <color rgb="FFFF0000"/>
        <rFont val="Times New Roman"/>
        <charset val="134"/>
      </rPr>
      <t>VDD12A</t>
    </r>
    <r>
      <rPr>
        <sz val="11"/>
        <color rgb="FFFF0000"/>
        <rFont val="宋体"/>
        <charset val="134"/>
      </rPr>
      <t>保持</t>
    </r>
    <r>
      <rPr>
        <sz val="11"/>
        <color rgb="FFFF0000"/>
        <rFont val="Times New Roman"/>
        <charset val="134"/>
      </rPr>
      <t xml:space="preserve">;   0: </t>
    </r>
    <r>
      <rPr>
        <sz val="11"/>
        <color rgb="FFFF0000"/>
        <rFont val="宋体"/>
        <charset val="134"/>
      </rPr>
      <t>不使能</t>
    </r>
    <r>
      <rPr>
        <sz val="11"/>
        <color rgb="FFFF0000"/>
        <rFont val="Times New Roman"/>
        <charset val="134"/>
      </rPr>
      <t xml:space="preserve">;
</t>
    </r>
    <r>
      <rPr>
        <sz val="11"/>
        <color rgb="FFFF0000"/>
        <rFont val="宋体"/>
        <charset val="134"/>
      </rPr>
      <t>默认关闭</t>
    </r>
    <r>
      <rPr>
        <sz val="11"/>
        <color rgb="FFFF0000"/>
        <rFont val="Times New Roman"/>
        <charset val="134"/>
      </rPr>
      <t xml:space="preserve">; </t>
    </r>
    <r>
      <rPr>
        <sz val="11"/>
        <color rgb="FFFF0000"/>
        <rFont val="宋体"/>
        <charset val="134"/>
      </rPr>
      <t>上电后</t>
    </r>
    <r>
      <rPr>
        <sz val="11"/>
        <color rgb="FFFF0000"/>
        <rFont val="Times New Roman"/>
        <charset val="134"/>
      </rPr>
      <t xml:space="preserve"> </t>
    </r>
    <r>
      <rPr>
        <sz val="11"/>
        <color rgb="FFFF0000"/>
        <rFont val="宋体"/>
        <charset val="134"/>
      </rPr>
      <t>只有在需要进入深度睡眠模式下</t>
    </r>
    <r>
      <rPr>
        <sz val="11"/>
        <color rgb="FFFF0000"/>
        <rFont val="Times New Roman"/>
        <charset val="134"/>
      </rPr>
      <t xml:space="preserve">, </t>
    </r>
    <r>
      <rPr>
        <sz val="11"/>
        <color rgb="FFFF0000"/>
        <rFont val="宋体"/>
        <charset val="134"/>
      </rPr>
      <t>才会开启</t>
    </r>
    <r>
      <rPr>
        <sz val="11"/>
        <color rgb="FFFF0000"/>
        <rFont val="Times New Roman"/>
        <charset val="134"/>
      </rPr>
      <t xml:space="preserve">; </t>
    </r>
    <r>
      <rPr>
        <sz val="11"/>
        <color rgb="FFFF0000"/>
        <rFont val="宋体"/>
        <charset val="134"/>
      </rPr>
      <t>让芯片进入最低功耗模式。该模式下需要保持的寄存器等都需要放在</t>
    </r>
    <r>
      <rPr>
        <sz val="11"/>
        <color rgb="FFFF0000"/>
        <rFont val="Times New Roman"/>
        <charset val="134"/>
      </rPr>
      <t>VDD12A</t>
    </r>
    <r>
      <rPr>
        <sz val="11"/>
        <color rgb="FFFF0000"/>
        <rFont val="宋体"/>
        <charset val="134"/>
      </rPr>
      <t>电源下。</t>
    </r>
  </si>
  <si>
    <r>
      <rPr>
        <sz val="11"/>
        <color rgb="FFFF0000"/>
        <rFont val="Times New Roman"/>
        <charset val="134"/>
      </rPr>
      <t xml:space="preserve">RW_ISOLAT_EN
</t>
    </r>
    <r>
      <rPr>
        <sz val="11"/>
        <color rgb="FFFF0000"/>
        <rFont val="宋体"/>
        <charset val="134"/>
      </rPr>
      <t>（重要）</t>
    </r>
  </si>
  <si>
    <r>
      <rPr>
        <sz val="11"/>
        <color rgb="FFFF0000"/>
        <rFont val="宋体"/>
        <charset val="134"/>
      </rPr>
      <t>独立控制 进入</t>
    </r>
    <r>
      <rPr>
        <sz val="11"/>
        <color rgb="FFFF0000"/>
        <rFont val="Times New Roman"/>
        <charset val="134"/>
      </rPr>
      <t>Deep Sleep</t>
    </r>
    <r>
      <rPr>
        <sz val="11"/>
        <color rgb="FFFF0000"/>
        <rFont val="宋体"/>
        <charset val="134"/>
      </rPr>
      <t>模式前</t>
    </r>
    <r>
      <rPr>
        <sz val="11"/>
        <color rgb="FFFF0000"/>
        <rFont val="Times New Roman"/>
        <charset val="134"/>
      </rPr>
      <t xml:space="preserve"> </t>
    </r>
    <r>
      <rPr>
        <sz val="11"/>
        <color rgb="FFFF0000"/>
        <rFont val="宋体"/>
        <charset val="134"/>
      </rPr>
      <t>使能</t>
    </r>
    <r>
      <rPr>
        <sz val="11"/>
        <color rgb="FFFF0000"/>
        <rFont val="Times New Roman"/>
        <charset val="134"/>
      </rPr>
      <t>ISO Latch</t>
    </r>
    <r>
      <rPr>
        <sz val="11"/>
        <color rgb="FFFF0000"/>
        <rFont val="宋体"/>
        <charset val="134"/>
      </rPr>
      <t>功能</t>
    </r>
    <r>
      <rPr>
        <sz val="11"/>
        <color rgb="FFFF0000"/>
        <rFont val="Times New Roman"/>
        <charset val="134"/>
      </rPr>
      <t xml:space="preserve">:
1: </t>
    </r>
    <r>
      <rPr>
        <sz val="11"/>
        <color rgb="FFFF0000"/>
        <rFont val="宋体"/>
        <charset val="134"/>
      </rPr>
      <t>使能</t>
    </r>
    <r>
      <rPr>
        <sz val="11"/>
        <color rgb="FFFF0000"/>
        <rFont val="Times New Roman"/>
        <charset val="134"/>
      </rPr>
      <t>ISO</t>
    </r>
    <r>
      <rPr>
        <sz val="11"/>
        <color rgb="FFFF0000"/>
        <rFont val="宋体"/>
        <charset val="134"/>
      </rPr>
      <t>，关闭</t>
    </r>
    <r>
      <rPr>
        <sz val="11"/>
        <color rgb="FFFF0000"/>
        <rFont val="Times New Roman"/>
        <charset val="134"/>
      </rPr>
      <t>VDD12D</t>
    </r>
    <r>
      <rPr>
        <sz val="11"/>
        <color rgb="FFFF0000"/>
        <rFont val="宋体"/>
        <charset val="134"/>
      </rPr>
      <t>前开启</t>
    </r>
    <r>
      <rPr>
        <sz val="11"/>
        <color rgb="FFFF0000"/>
        <rFont val="Times New Roman"/>
        <charset val="134"/>
      </rPr>
      <t>ISO LATCH</t>
    </r>
    <r>
      <rPr>
        <sz val="11"/>
        <color rgb="FFFF0000"/>
        <rFont val="宋体"/>
        <charset val="134"/>
      </rPr>
      <t>功能</t>
    </r>
    <r>
      <rPr>
        <sz val="11"/>
        <color rgb="FFFF0000"/>
        <rFont val="Times New Roman"/>
        <charset val="134"/>
      </rPr>
      <t xml:space="preserve">;   0: </t>
    </r>
    <r>
      <rPr>
        <sz val="11"/>
        <color rgb="FFFF0000"/>
        <rFont val="宋体"/>
        <charset val="134"/>
      </rPr>
      <t>不使能</t>
    </r>
    <r>
      <rPr>
        <sz val="11"/>
        <color rgb="FFFF0000"/>
        <rFont val="Times New Roman"/>
        <charset val="134"/>
      </rPr>
      <t>ISO</t>
    </r>
    <r>
      <rPr>
        <sz val="11"/>
        <color rgb="FFFF0000"/>
        <rFont val="Times New Roman"/>
        <charset val="134"/>
      </rPr>
      <t xml:space="preserve">;
</t>
    </r>
    <r>
      <rPr>
        <sz val="11"/>
        <color rgb="FFFF0000"/>
        <rFont val="宋体"/>
        <charset val="134"/>
      </rPr>
      <t>默认关闭</t>
    </r>
    <r>
      <rPr>
        <sz val="11"/>
        <color rgb="FFFF0000"/>
        <rFont val="Times New Roman"/>
        <charset val="134"/>
      </rPr>
      <t xml:space="preserve">; </t>
    </r>
    <r>
      <rPr>
        <sz val="11"/>
        <color rgb="FFFF0000"/>
        <rFont val="宋体"/>
        <charset val="134"/>
      </rPr>
      <t>上电后</t>
    </r>
    <r>
      <rPr>
        <sz val="11"/>
        <color rgb="FFFF0000"/>
        <rFont val="Times New Roman"/>
        <charset val="134"/>
      </rPr>
      <t xml:space="preserve"> </t>
    </r>
    <r>
      <rPr>
        <sz val="11"/>
        <color rgb="FFFF0000"/>
        <rFont val="宋体"/>
        <charset val="134"/>
      </rPr>
      <t>只有在需要进入深度睡眠模式下</t>
    </r>
    <r>
      <rPr>
        <sz val="11"/>
        <color rgb="FFFF0000"/>
        <rFont val="Times New Roman"/>
        <charset val="134"/>
      </rPr>
      <t xml:space="preserve">, </t>
    </r>
    <r>
      <rPr>
        <sz val="11"/>
        <color rgb="FFFF0000"/>
        <rFont val="宋体"/>
        <charset val="134"/>
      </rPr>
      <t>才会开启</t>
    </r>
    <r>
      <rPr>
        <sz val="11"/>
        <color rgb="FFFF0000"/>
        <rFont val="Times New Roman"/>
        <charset val="134"/>
      </rPr>
      <t xml:space="preserve">; </t>
    </r>
    <r>
      <rPr>
        <sz val="11"/>
        <color rgb="FFFF0000"/>
        <rFont val="宋体"/>
        <charset val="134"/>
      </rPr>
      <t>让芯片进入最低功耗模式。</t>
    </r>
  </si>
  <si>
    <t>RW_LSI_32K_EN</t>
  </si>
  <si>
    <r>
      <rPr>
        <sz val="11"/>
        <color rgb="FFC00000"/>
        <rFont val="宋体"/>
        <charset val="134"/>
      </rPr>
      <t xml:space="preserve">独立控制 </t>
    </r>
    <r>
      <rPr>
        <sz val="11"/>
        <color rgb="FFC00000"/>
        <rFont val="Times New Roman"/>
        <charset val="134"/>
      </rPr>
      <t>LSI-32KHz</t>
    </r>
    <r>
      <rPr>
        <sz val="11"/>
        <color rgb="FFC00000"/>
        <rFont val="宋体"/>
        <charset val="134"/>
      </rPr>
      <t>时钟使能</t>
    </r>
    <r>
      <rPr>
        <sz val="11"/>
        <color rgb="FFC00000"/>
        <rFont val="Times New Roman"/>
        <charset val="134"/>
      </rPr>
      <t xml:space="preserve">:
1: </t>
    </r>
    <r>
      <rPr>
        <sz val="11"/>
        <color rgb="FFC00000"/>
        <rFont val="宋体"/>
        <charset val="134"/>
      </rPr>
      <t>使能</t>
    </r>
    <r>
      <rPr>
        <sz val="11"/>
        <color rgb="FFC00000"/>
        <rFont val="Times New Roman"/>
        <charset val="134"/>
      </rPr>
      <t xml:space="preserve">;  0: </t>
    </r>
    <r>
      <rPr>
        <sz val="11"/>
        <color rgb="FFC00000"/>
        <rFont val="宋体"/>
        <charset val="134"/>
      </rPr>
      <t>关闭</t>
    </r>
    <r>
      <rPr>
        <sz val="11"/>
        <color rgb="FFC00000"/>
        <rFont val="Times New Roman"/>
        <charset val="134"/>
      </rPr>
      <t xml:space="preserve">;
</t>
    </r>
    <r>
      <rPr>
        <sz val="11"/>
        <color rgb="FFC00000"/>
        <rFont val="宋体"/>
        <charset val="134"/>
      </rPr>
      <t>默认开启</t>
    </r>
    <r>
      <rPr>
        <sz val="11"/>
        <color rgb="FFC00000"/>
        <rFont val="Times New Roman"/>
        <charset val="134"/>
      </rPr>
      <t xml:space="preserve">; </t>
    </r>
    <r>
      <rPr>
        <sz val="11"/>
        <color rgb="FFC00000"/>
        <rFont val="宋体"/>
        <charset val="134"/>
      </rPr>
      <t>睡眠模式下</t>
    </r>
    <r>
      <rPr>
        <sz val="11"/>
        <color rgb="FFC00000"/>
        <rFont val="Times New Roman"/>
        <charset val="134"/>
      </rPr>
      <t>,</t>
    </r>
    <r>
      <rPr>
        <sz val="11"/>
        <color rgb="FFC00000"/>
        <rFont val="宋体"/>
        <charset val="134"/>
      </rPr>
      <t>保持开启</t>
    </r>
    <r>
      <rPr>
        <sz val="11"/>
        <color rgb="FFC00000"/>
        <rFont val="Times New Roman"/>
        <charset val="134"/>
      </rPr>
      <t>;</t>
    </r>
  </si>
  <si>
    <t>RW_SLP_REF_EN</t>
  </si>
  <si>
    <r>
      <rPr>
        <sz val="11"/>
        <color rgb="FFC00000"/>
        <rFont val="宋体"/>
        <charset val="134"/>
      </rPr>
      <t xml:space="preserve">独立控制 </t>
    </r>
    <r>
      <rPr>
        <sz val="11"/>
        <color rgb="FFC00000"/>
        <rFont val="Times New Roman"/>
        <charset val="134"/>
      </rPr>
      <t xml:space="preserve">SLP-REF </t>
    </r>
    <r>
      <rPr>
        <sz val="11"/>
        <color rgb="FFC00000"/>
        <rFont val="宋体"/>
        <charset val="134"/>
      </rPr>
      <t>参考的使能</t>
    </r>
    <r>
      <rPr>
        <sz val="11"/>
        <color rgb="FFC00000"/>
        <rFont val="Times New Roman"/>
        <charset val="134"/>
      </rPr>
      <t xml:space="preserve">:
1: </t>
    </r>
    <r>
      <rPr>
        <sz val="11"/>
        <color rgb="FFC00000"/>
        <rFont val="宋体"/>
        <charset val="134"/>
      </rPr>
      <t>使能</t>
    </r>
    <r>
      <rPr>
        <sz val="11"/>
        <color rgb="FFC00000"/>
        <rFont val="Times New Roman"/>
        <charset val="134"/>
      </rPr>
      <t xml:space="preserve">;  0: </t>
    </r>
    <r>
      <rPr>
        <sz val="11"/>
        <color rgb="FFC00000"/>
        <rFont val="宋体"/>
        <charset val="134"/>
      </rPr>
      <t>关闭</t>
    </r>
    <r>
      <rPr>
        <sz val="11"/>
        <color rgb="FFC00000"/>
        <rFont val="Times New Roman"/>
        <charset val="134"/>
      </rPr>
      <t xml:space="preserve">;
</t>
    </r>
    <r>
      <rPr>
        <sz val="11"/>
        <color rgb="FFC00000"/>
        <rFont val="宋体"/>
        <charset val="134"/>
      </rPr>
      <t>默认开启</t>
    </r>
    <r>
      <rPr>
        <sz val="11"/>
        <color rgb="FFC00000"/>
        <rFont val="Times New Roman"/>
        <charset val="134"/>
      </rPr>
      <t xml:space="preserve">; </t>
    </r>
    <r>
      <rPr>
        <sz val="11"/>
        <color rgb="FFC00000"/>
        <rFont val="宋体"/>
        <charset val="134"/>
      </rPr>
      <t>睡眠模式下</t>
    </r>
    <r>
      <rPr>
        <sz val="11"/>
        <color rgb="FFC00000"/>
        <rFont val="Times New Roman"/>
        <charset val="134"/>
      </rPr>
      <t>,</t>
    </r>
    <r>
      <rPr>
        <sz val="11"/>
        <color rgb="FFC00000"/>
        <rFont val="宋体"/>
        <charset val="134"/>
      </rPr>
      <t>保持开启</t>
    </r>
    <r>
      <rPr>
        <sz val="11"/>
        <color rgb="FFC00000"/>
        <rFont val="Times New Roman"/>
        <charset val="134"/>
      </rPr>
      <t>;</t>
    </r>
  </si>
  <si>
    <t>RW_VDD12_POR_EN</t>
  </si>
  <si>
    <r>
      <rPr>
        <sz val="11"/>
        <color rgb="FFC00000"/>
        <rFont val="宋体"/>
        <charset val="134"/>
      </rPr>
      <t xml:space="preserve">独立控制 </t>
    </r>
    <r>
      <rPr>
        <sz val="11"/>
        <color rgb="FFC00000"/>
        <rFont val="Times New Roman"/>
        <charset val="134"/>
      </rPr>
      <t>POR-1.2V</t>
    </r>
    <r>
      <rPr>
        <sz val="11"/>
        <color rgb="FFC00000"/>
        <rFont val="宋体"/>
        <charset val="134"/>
      </rPr>
      <t>使能</t>
    </r>
    <r>
      <rPr>
        <sz val="11"/>
        <color rgb="FFC00000"/>
        <rFont val="Times New Roman"/>
        <charset val="134"/>
      </rPr>
      <t xml:space="preserve">:
1: </t>
    </r>
    <r>
      <rPr>
        <sz val="11"/>
        <color rgb="FFC00000"/>
        <rFont val="宋体"/>
        <charset val="134"/>
      </rPr>
      <t>使能</t>
    </r>
    <r>
      <rPr>
        <sz val="11"/>
        <color rgb="FFC00000"/>
        <rFont val="Times New Roman"/>
        <charset val="134"/>
      </rPr>
      <t xml:space="preserve">;  0: </t>
    </r>
    <r>
      <rPr>
        <sz val="11"/>
        <color rgb="FFC00000"/>
        <rFont val="宋体"/>
        <charset val="134"/>
      </rPr>
      <t>关闭</t>
    </r>
    <r>
      <rPr>
        <sz val="11"/>
        <color rgb="FFC00000"/>
        <rFont val="Times New Roman"/>
        <charset val="134"/>
      </rPr>
      <t xml:space="preserve">;
</t>
    </r>
    <r>
      <rPr>
        <sz val="11"/>
        <color rgb="FFC00000"/>
        <rFont val="宋体"/>
        <charset val="134"/>
      </rPr>
      <t>默认开启</t>
    </r>
    <r>
      <rPr>
        <sz val="11"/>
        <color rgb="FFC00000"/>
        <rFont val="Times New Roman"/>
        <charset val="134"/>
      </rPr>
      <t xml:space="preserve">; </t>
    </r>
    <r>
      <rPr>
        <sz val="11"/>
        <color rgb="FFC00000"/>
        <rFont val="宋体"/>
        <charset val="134"/>
      </rPr>
      <t>睡眠模式下</t>
    </r>
    <r>
      <rPr>
        <sz val="11"/>
        <color rgb="FFC00000"/>
        <rFont val="Times New Roman"/>
        <charset val="134"/>
      </rPr>
      <t>,</t>
    </r>
    <r>
      <rPr>
        <sz val="11"/>
        <color rgb="FFC00000"/>
        <rFont val="宋体"/>
        <charset val="134"/>
      </rPr>
      <t>保持开启</t>
    </r>
    <r>
      <rPr>
        <sz val="11"/>
        <color rgb="FFC00000"/>
        <rFont val="Times New Roman"/>
        <charset val="134"/>
      </rPr>
      <t>;</t>
    </r>
  </si>
  <si>
    <t>RW_VDD33_POR_EN</t>
  </si>
  <si>
    <r>
      <rPr>
        <sz val="11"/>
        <color rgb="FFC00000"/>
        <rFont val="宋体"/>
        <charset val="134"/>
      </rPr>
      <t xml:space="preserve">独立控制 </t>
    </r>
    <r>
      <rPr>
        <sz val="11"/>
        <color rgb="FFC00000"/>
        <rFont val="Times New Roman"/>
        <charset val="134"/>
      </rPr>
      <t xml:space="preserve">POR-3.3V </t>
    </r>
    <r>
      <rPr>
        <sz val="11"/>
        <color rgb="FFC00000"/>
        <rFont val="宋体"/>
        <charset val="134"/>
      </rPr>
      <t>使能</t>
    </r>
    <r>
      <rPr>
        <sz val="11"/>
        <color rgb="FFC00000"/>
        <rFont val="Times New Roman"/>
        <charset val="134"/>
      </rPr>
      <t xml:space="preserve">:
1: </t>
    </r>
    <r>
      <rPr>
        <sz val="11"/>
        <color rgb="FFC00000"/>
        <rFont val="宋体"/>
        <charset val="134"/>
      </rPr>
      <t>使能</t>
    </r>
    <r>
      <rPr>
        <sz val="11"/>
        <color rgb="FFC00000"/>
        <rFont val="Times New Roman"/>
        <charset val="134"/>
      </rPr>
      <t xml:space="preserve">;  0: </t>
    </r>
    <r>
      <rPr>
        <sz val="11"/>
        <color rgb="FFC00000"/>
        <rFont val="宋体"/>
        <charset val="134"/>
      </rPr>
      <t>关闭</t>
    </r>
    <r>
      <rPr>
        <sz val="11"/>
        <color rgb="FFC00000"/>
        <rFont val="Times New Roman"/>
        <charset val="134"/>
      </rPr>
      <t xml:space="preserve">;
</t>
    </r>
    <r>
      <rPr>
        <sz val="11"/>
        <color rgb="FFC00000"/>
        <rFont val="宋体"/>
        <charset val="134"/>
      </rPr>
      <t>默认开启</t>
    </r>
    <r>
      <rPr>
        <sz val="11"/>
        <color rgb="FFC00000"/>
        <rFont val="Times New Roman"/>
        <charset val="134"/>
      </rPr>
      <t xml:space="preserve">; </t>
    </r>
    <r>
      <rPr>
        <sz val="11"/>
        <color rgb="FFC00000"/>
        <rFont val="宋体"/>
        <charset val="134"/>
      </rPr>
      <t>睡眠模式下</t>
    </r>
    <r>
      <rPr>
        <sz val="11"/>
        <color rgb="FFC00000"/>
        <rFont val="Times New Roman"/>
        <charset val="134"/>
      </rPr>
      <t>,</t>
    </r>
    <r>
      <rPr>
        <sz val="11"/>
        <color rgb="FFC00000"/>
        <rFont val="宋体"/>
        <charset val="134"/>
      </rPr>
      <t>保持开启</t>
    </r>
    <r>
      <rPr>
        <sz val="11"/>
        <color rgb="FFC00000"/>
        <rFont val="Times New Roman"/>
        <charset val="134"/>
      </rPr>
      <t>;</t>
    </r>
  </si>
  <si>
    <t>RW_VDD33_BOR_EN</t>
  </si>
  <si>
    <r>
      <rPr>
        <sz val="11"/>
        <color rgb="FFC00000"/>
        <rFont val="宋体"/>
        <charset val="134"/>
      </rPr>
      <t xml:space="preserve">独立控制 </t>
    </r>
    <r>
      <rPr>
        <sz val="11"/>
        <color rgb="FFC00000"/>
        <rFont val="Times New Roman"/>
        <charset val="134"/>
      </rPr>
      <t xml:space="preserve">BOR-3.3V </t>
    </r>
    <r>
      <rPr>
        <sz val="11"/>
        <color rgb="FFC00000"/>
        <rFont val="宋体"/>
        <charset val="134"/>
      </rPr>
      <t>使能</t>
    </r>
    <r>
      <rPr>
        <sz val="11"/>
        <color rgb="FFC00000"/>
        <rFont val="Times New Roman"/>
        <charset val="134"/>
      </rPr>
      <t xml:space="preserve">:
1: </t>
    </r>
    <r>
      <rPr>
        <sz val="11"/>
        <color rgb="FFC00000"/>
        <rFont val="宋体"/>
        <charset val="134"/>
      </rPr>
      <t>使能</t>
    </r>
    <r>
      <rPr>
        <sz val="11"/>
        <color rgb="FFC00000"/>
        <rFont val="Times New Roman"/>
        <charset val="134"/>
      </rPr>
      <t xml:space="preserve">;  0: </t>
    </r>
    <r>
      <rPr>
        <sz val="11"/>
        <color rgb="FFC00000"/>
        <rFont val="宋体"/>
        <charset val="134"/>
      </rPr>
      <t>关闭</t>
    </r>
    <r>
      <rPr>
        <sz val="11"/>
        <color rgb="FFC00000"/>
        <rFont val="Times New Roman"/>
        <charset val="134"/>
      </rPr>
      <t xml:space="preserve">;
</t>
    </r>
    <r>
      <rPr>
        <sz val="11"/>
        <color rgb="FFC00000"/>
        <rFont val="宋体"/>
        <charset val="134"/>
      </rPr>
      <t>默认关闭</t>
    </r>
    <r>
      <rPr>
        <sz val="11"/>
        <color rgb="FFC00000"/>
        <rFont val="Times New Roman"/>
        <charset val="134"/>
      </rPr>
      <t xml:space="preserve">; </t>
    </r>
    <r>
      <rPr>
        <sz val="11"/>
        <color rgb="FFC00000"/>
        <rFont val="宋体"/>
        <charset val="134"/>
      </rPr>
      <t>上电后开启；</t>
    </r>
    <r>
      <rPr>
        <sz val="11"/>
        <color rgb="FFC00000"/>
        <rFont val="Times New Roman"/>
        <charset val="134"/>
      </rPr>
      <t xml:space="preserve"> </t>
    </r>
    <r>
      <rPr>
        <sz val="11"/>
        <color rgb="FFC00000"/>
        <rFont val="宋体"/>
        <charset val="134"/>
      </rPr>
      <t>睡眠模式下</t>
    </r>
    <r>
      <rPr>
        <sz val="11"/>
        <color rgb="FFC00000"/>
        <rFont val="Times New Roman"/>
        <charset val="134"/>
      </rPr>
      <t>,</t>
    </r>
    <r>
      <rPr>
        <sz val="11"/>
        <color rgb="FFC00000"/>
        <rFont val="宋体"/>
        <charset val="134"/>
      </rPr>
      <t>可以关闭，减小电流</t>
    </r>
    <r>
      <rPr>
        <sz val="11"/>
        <color rgb="FFC00000"/>
        <rFont val="Times New Roman"/>
        <charset val="134"/>
      </rPr>
      <t>;</t>
    </r>
  </si>
  <si>
    <t>RW_LDO12_SHDN</t>
  </si>
  <si>
    <r>
      <rPr>
        <sz val="11"/>
        <color rgb="FFFF0000"/>
        <rFont val="宋体"/>
        <charset val="134"/>
      </rPr>
      <t>独立控制</t>
    </r>
    <r>
      <rPr>
        <sz val="11"/>
        <color rgb="FFFF0000"/>
        <rFont val="Times New Roman"/>
        <charset val="134"/>
      </rPr>
      <t xml:space="preserve"> LDO12 </t>
    </r>
    <r>
      <rPr>
        <sz val="11"/>
        <color rgb="FFFF0000"/>
        <rFont val="宋体"/>
        <charset val="134"/>
      </rPr>
      <t>是否关闭的使能</t>
    </r>
    <r>
      <rPr>
        <sz val="11"/>
        <color rgb="FFFF0000"/>
        <rFont val="Times New Roman"/>
        <charset val="134"/>
      </rPr>
      <t xml:space="preserve">:
 1: </t>
    </r>
    <r>
      <rPr>
        <sz val="11"/>
        <color rgb="FFFF0000"/>
        <rFont val="宋体"/>
        <charset val="134"/>
      </rPr>
      <t>使能，</t>
    </r>
    <r>
      <rPr>
        <sz val="11"/>
        <color rgb="FFFF0000"/>
        <rFont val="Times New Roman"/>
        <charset val="134"/>
      </rPr>
      <t>LDO12</t>
    </r>
    <r>
      <rPr>
        <sz val="11"/>
        <color rgb="FFFF0000"/>
        <rFont val="宋体"/>
        <charset val="134"/>
      </rPr>
      <t>关闭且拉低</t>
    </r>
    <r>
      <rPr>
        <sz val="11"/>
        <color rgb="FFFF0000"/>
        <rFont val="Times New Roman"/>
        <charset val="134"/>
      </rPr>
      <t xml:space="preserve">;  0: </t>
    </r>
    <r>
      <rPr>
        <sz val="11"/>
        <color rgb="FFFF0000"/>
        <rFont val="宋体"/>
        <charset val="134"/>
      </rPr>
      <t>不使能；
默认关闭</t>
    </r>
    <r>
      <rPr>
        <sz val="11"/>
        <color rgb="FFFF0000"/>
        <rFont val="Times New Roman"/>
        <charset val="134"/>
      </rPr>
      <t xml:space="preserve">, </t>
    </r>
    <r>
      <rPr>
        <sz val="11"/>
        <color rgb="FFFF0000"/>
        <rFont val="宋体"/>
        <charset val="134"/>
      </rPr>
      <t>正常情况下保持不使能</t>
    </r>
    <r>
      <rPr>
        <sz val="11"/>
        <color rgb="FFFF0000"/>
        <rFont val="Times New Roman"/>
        <charset val="134"/>
      </rPr>
      <t>; 
(</t>
    </r>
    <r>
      <rPr>
        <sz val="11"/>
        <color rgb="FFFF0000"/>
        <rFont val="宋体"/>
        <charset val="134"/>
      </rPr>
      <t>该模式不是低功耗模式，是直接把</t>
    </r>
    <r>
      <rPr>
        <sz val="11"/>
        <color rgb="FFFF0000"/>
        <rFont val="Times New Roman"/>
        <charset val="134"/>
      </rPr>
      <t>LDO12</t>
    </r>
    <r>
      <rPr>
        <sz val="11"/>
        <color rgb="FFFF0000"/>
        <rFont val="宋体"/>
        <charset val="134"/>
      </rPr>
      <t>关闭，会导致芯片掉电复位，通常不会使能)</t>
    </r>
  </si>
  <si>
    <t>RW_DSLP_LAT_ANA</t>
  </si>
  <si>
    <r>
      <rPr>
        <sz val="11"/>
        <color rgb="FFFF0000"/>
        <rFont val="宋体"/>
        <charset val="134"/>
      </rPr>
      <t>控制</t>
    </r>
    <r>
      <rPr>
        <sz val="11"/>
        <color rgb="FFFF0000"/>
        <rFont val="Times New Roman"/>
        <charset val="134"/>
      </rPr>
      <t xml:space="preserve"> </t>
    </r>
    <r>
      <rPr>
        <sz val="11"/>
        <color rgb="FFFF0000"/>
        <rFont val="宋体"/>
        <charset val="134"/>
      </rPr>
      <t>是否在</t>
    </r>
    <r>
      <rPr>
        <sz val="11"/>
        <color rgb="FFFF0000"/>
        <rFont val="Times New Roman"/>
        <charset val="134"/>
      </rPr>
      <t xml:space="preserve">Deep Sleep </t>
    </r>
    <r>
      <rPr>
        <sz val="11"/>
        <color rgb="FFFF0000"/>
        <rFont val="宋体"/>
        <charset val="134"/>
      </rPr>
      <t>模式下，模拟模块寄存器</t>
    </r>
    <r>
      <rPr>
        <sz val="11"/>
        <color rgb="FFFF0000"/>
        <rFont val="Times New Roman"/>
        <charset val="134"/>
      </rPr>
      <t>latch</t>
    </r>
    <r>
      <rPr>
        <sz val="11"/>
        <color rgb="FFFF0000"/>
        <rFont val="宋体"/>
        <charset val="134"/>
      </rPr>
      <t>的使能</t>
    </r>
    <r>
      <rPr>
        <sz val="11"/>
        <color rgb="FFFF0000"/>
        <rFont val="Times New Roman"/>
        <charset val="134"/>
      </rPr>
      <t xml:space="preserve">:
1: </t>
    </r>
    <r>
      <rPr>
        <sz val="11"/>
        <color rgb="FFFF0000"/>
        <rFont val="宋体"/>
        <charset val="134"/>
      </rPr>
      <t>使能 (进入</t>
    </r>
    <r>
      <rPr>
        <sz val="11"/>
        <color rgb="FFFF0000"/>
        <rFont val="Times New Roman"/>
        <charset val="134"/>
      </rPr>
      <t>DSLP</t>
    </r>
    <r>
      <rPr>
        <sz val="11"/>
        <color rgb="FFFF0000"/>
        <rFont val="宋体"/>
        <charset val="134"/>
      </rPr>
      <t>后，自动锁住模拟状态)</t>
    </r>
    <r>
      <rPr>
        <sz val="11"/>
        <color rgb="FFFF0000"/>
        <rFont val="Times New Roman"/>
        <charset val="134"/>
      </rPr>
      <t xml:space="preserve">;  0: </t>
    </r>
    <r>
      <rPr>
        <sz val="11"/>
        <color rgb="FFFF0000"/>
        <rFont val="宋体"/>
        <charset val="134"/>
      </rPr>
      <t>关闭</t>
    </r>
    <r>
      <rPr>
        <sz val="11"/>
        <color rgb="FFFF0000"/>
        <rFont val="Times New Roman"/>
        <charset val="134"/>
      </rPr>
      <t>;</t>
    </r>
    <r>
      <rPr>
        <sz val="11"/>
        <color rgb="FFFF0000"/>
        <rFont val="宋体"/>
        <charset val="134"/>
      </rPr>
      <t xml:space="preserve">
默认关闭</t>
    </r>
    <r>
      <rPr>
        <sz val="11"/>
        <color rgb="FFFF0000"/>
        <rFont val="Times New Roman"/>
        <charset val="134"/>
      </rPr>
      <t xml:space="preserve">, </t>
    </r>
    <r>
      <rPr>
        <sz val="11"/>
        <color rgb="FFFF0000"/>
        <rFont val="宋体"/>
        <charset val="134"/>
      </rPr>
      <t>上电后根据需要开启</t>
    </r>
    <r>
      <rPr>
        <sz val="11"/>
        <color rgb="FFFF0000"/>
        <rFont val="Times New Roman"/>
        <charset val="134"/>
      </rPr>
      <t>;</t>
    </r>
    <r>
      <rPr>
        <sz val="11"/>
        <color rgb="FFFF0000"/>
        <rFont val="Times New Roman"/>
        <charset val="134"/>
      </rPr>
      <t xml:space="preserve"> </t>
    </r>
  </si>
  <si>
    <t>RW_DSLP_LAT_GPIO</t>
  </si>
  <si>
    <r>
      <rPr>
        <sz val="11"/>
        <color rgb="FFFF0000"/>
        <rFont val="宋体"/>
        <charset val="134"/>
      </rPr>
      <t>控制</t>
    </r>
    <r>
      <rPr>
        <sz val="11"/>
        <color rgb="FFFF0000"/>
        <rFont val="Times New Roman"/>
        <charset val="134"/>
      </rPr>
      <t xml:space="preserve"> </t>
    </r>
    <r>
      <rPr>
        <sz val="11"/>
        <color rgb="FFFF0000"/>
        <rFont val="宋体"/>
        <charset val="134"/>
      </rPr>
      <t>是否在</t>
    </r>
    <r>
      <rPr>
        <sz val="11"/>
        <color rgb="FFFF0000"/>
        <rFont val="Times New Roman"/>
        <charset val="134"/>
      </rPr>
      <t xml:space="preserve">Deep Sleep </t>
    </r>
    <r>
      <rPr>
        <sz val="11"/>
        <color rgb="FFFF0000"/>
        <rFont val="宋体"/>
        <charset val="134"/>
      </rPr>
      <t>模式下，</t>
    </r>
    <r>
      <rPr>
        <sz val="11"/>
        <color rgb="FFFF0000"/>
        <rFont val="Times New Roman"/>
        <charset val="134"/>
      </rPr>
      <t xml:space="preserve">GPIO </t>
    </r>
    <r>
      <rPr>
        <sz val="11"/>
        <color rgb="FFFF0000"/>
        <rFont val="宋体"/>
        <charset val="134"/>
      </rPr>
      <t>模块寄存器</t>
    </r>
    <r>
      <rPr>
        <sz val="11"/>
        <color rgb="FFFF0000"/>
        <rFont val="Times New Roman"/>
        <charset val="134"/>
      </rPr>
      <t>latch</t>
    </r>
    <r>
      <rPr>
        <sz val="11"/>
        <color rgb="FFFF0000"/>
        <rFont val="宋体"/>
        <charset val="134"/>
      </rPr>
      <t>的使能</t>
    </r>
    <r>
      <rPr>
        <sz val="11"/>
        <color rgb="FFFF0000"/>
        <rFont val="Times New Roman"/>
        <charset val="134"/>
      </rPr>
      <t xml:space="preserve">:
1: </t>
    </r>
    <r>
      <rPr>
        <sz val="11"/>
        <color rgb="FFFF0000"/>
        <rFont val="宋体"/>
        <charset val="134"/>
      </rPr>
      <t>使能 (进入</t>
    </r>
    <r>
      <rPr>
        <sz val="11"/>
        <color rgb="FFFF0000"/>
        <rFont val="Times New Roman"/>
        <charset val="134"/>
      </rPr>
      <t>DSLP</t>
    </r>
    <r>
      <rPr>
        <sz val="11"/>
        <color rgb="FFFF0000"/>
        <rFont val="宋体"/>
        <charset val="134"/>
      </rPr>
      <t>后，自动锁住模拟状态)</t>
    </r>
    <r>
      <rPr>
        <sz val="11"/>
        <color rgb="FFFF0000"/>
        <rFont val="Times New Roman"/>
        <charset val="134"/>
      </rPr>
      <t xml:space="preserve">;  0: </t>
    </r>
    <r>
      <rPr>
        <sz val="11"/>
        <color rgb="FFFF0000"/>
        <rFont val="宋体"/>
        <charset val="134"/>
      </rPr>
      <t>关闭</t>
    </r>
    <r>
      <rPr>
        <sz val="11"/>
        <color rgb="FFFF0000"/>
        <rFont val="Times New Roman"/>
        <charset val="134"/>
      </rPr>
      <t>;</t>
    </r>
    <r>
      <rPr>
        <sz val="11"/>
        <color rgb="FFFF0000"/>
        <rFont val="宋体"/>
        <charset val="134"/>
      </rPr>
      <t xml:space="preserve">
默认关闭</t>
    </r>
    <r>
      <rPr>
        <sz val="11"/>
        <color rgb="FFFF0000"/>
        <rFont val="Times New Roman"/>
        <charset val="134"/>
      </rPr>
      <t xml:space="preserve">, </t>
    </r>
    <r>
      <rPr>
        <sz val="11"/>
        <color rgb="FFFF0000"/>
        <rFont val="宋体"/>
        <charset val="134"/>
      </rPr>
      <t>上电后根据需要开启</t>
    </r>
    <r>
      <rPr>
        <sz val="11"/>
        <color rgb="FFFF0000"/>
        <rFont val="Times New Roman"/>
        <charset val="134"/>
      </rPr>
      <t>;</t>
    </r>
    <r>
      <rPr>
        <sz val="11"/>
        <color rgb="FFFF0000"/>
        <rFont val="Times New Roman"/>
        <charset val="134"/>
      </rPr>
      <t xml:space="preserve"> </t>
    </r>
  </si>
  <si>
    <t>RW_DSLP_OFF_V12D</t>
  </si>
  <si>
    <r>
      <rPr>
        <sz val="11"/>
        <color rgb="FFFF0000"/>
        <rFont val="宋体"/>
        <charset val="134"/>
      </rPr>
      <t>控制</t>
    </r>
    <r>
      <rPr>
        <sz val="11"/>
        <color rgb="FFFF0000"/>
        <rFont val="Times New Roman"/>
        <charset val="134"/>
      </rPr>
      <t xml:space="preserve"> </t>
    </r>
    <r>
      <rPr>
        <sz val="11"/>
        <color rgb="FFFF0000"/>
        <rFont val="宋体"/>
        <charset val="134"/>
      </rPr>
      <t>是否在</t>
    </r>
    <r>
      <rPr>
        <sz val="11"/>
        <color rgb="FFFF0000"/>
        <rFont val="Times New Roman"/>
        <charset val="134"/>
      </rPr>
      <t xml:space="preserve">Deep Sleep </t>
    </r>
    <r>
      <rPr>
        <sz val="11"/>
        <color rgb="FFFF0000"/>
        <rFont val="宋体"/>
        <charset val="134"/>
      </rPr>
      <t>模式下，关闭</t>
    </r>
    <r>
      <rPr>
        <sz val="11"/>
        <color rgb="FFFF0000"/>
        <rFont val="Times New Roman"/>
        <charset val="134"/>
      </rPr>
      <t>VDD12D</t>
    </r>
    <r>
      <rPr>
        <sz val="11"/>
        <color rgb="FFFF0000"/>
        <rFont val="宋体"/>
        <charset val="134"/>
      </rPr>
      <t>的使能</t>
    </r>
    <r>
      <rPr>
        <sz val="11"/>
        <color rgb="FFFF0000"/>
        <rFont val="Times New Roman"/>
        <charset val="134"/>
      </rPr>
      <t xml:space="preserve">:
1: </t>
    </r>
    <r>
      <rPr>
        <sz val="11"/>
        <color rgb="FFFF0000"/>
        <rFont val="宋体"/>
        <charset val="134"/>
      </rPr>
      <t>使能 (进入</t>
    </r>
    <r>
      <rPr>
        <sz val="11"/>
        <color rgb="FFFF0000"/>
        <rFont val="Times New Roman"/>
        <charset val="134"/>
      </rPr>
      <t>DSLP</t>
    </r>
    <r>
      <rPr>
        <sz val="11"/>
        <color rgb="FFFF0000"/>
        <rFont val="宋体"/>
        <charset val="134"/>
      </rPr>
      <t>后，自动关闭</t>
    </r>
    <r>
      <rPr>
        <sz val="11"/>
        <color rgb="FFFF0000"/>
        <rFont val="Times New Roman"/>
        <charset val="134"/>
      </rPr>
      <t>VDD12D</t>
    </r>
    <r>
      <rPr>
        <sz val="11"/>
        <color rgb="FFFF0000"/>
        <rFont val="宋体"/>
        <charset val="134"/>
      </rPr>
      <t>)</t>
    </r>
    <r>
      <rPr>
        <sz val="11"/>
        <color rgb="FFFF0000"/>
        <rFont val="Times New Roman"/>
        <charset val="134"/>
      </rPr>
      <t xml:space="preserve">;  0: </t>
    </r>
    <r>
      <rPr>
        <sz val="11"/>
        <color rgb="FFFF0000"/>
        <rFont val="宋体"/>
        <charset val="134"/>
      </rPr>
      <t>关闭(用于测试</t>
    </r>
    <r>
      <rPr>
        <sz val="11"/>
        <color rgb="FFFF0000"/>
        <rFont val="Times New Roman"/>
        <charset val="134"/>
      </rPr>
      <t>AON</t>
    </r>
    <r>
      <rPr>
        <sz val="11"/>
        <color rgb="FFFF0000"/>
        <rFont val="宋体"/>
        <charset val="134"/>
      </rPr>
      <t>控制逻辑是否正确)</t>
    </r>
    <r>
      <rPr>
        <sz val="11"/>
        <color rgb="FFFF0000"/>
        <rFont val="Times New Roman"/>
        <charset val="134"/>
      </rPr>
      <t>;</t>
    </r>
    <r>
      <rPr>
        <sz val="11"/>
        <color rgb="FFFF0000"/>
        <rFont val="宋体"/>
        <charset val="134"/>
      </rPr>
      <t xml:space="preserve">
默认关闭</t>
    </r>
    <r>
      <rPr>
        <sz val="11"/>
        <color rgb="FFFF0000"/>
        <rFont val="Times New Roman"/>
        <charset val="134"/>
      </rPr>
      <t xml:space="preserve">, </t>
    </r>
    <r>
      <rPr>
        <sz val="11"/>
        <color rgb="FFFF0000"/>
        <rFont val="宋体"/>
        <charset val="134"/>
      </rPr>
      <t>上电后根据需要开启</t>
    </r>
    <r>
      <rPr>
        <sz val="11"/>
        <color rgb="FFFF0000"/>
        <rFont val="Times New Roman"/>
        <charset val="134"/>
      </rPr>
      <t>;</t>
    </r>
    <r>
      <rPr>
        <sz val="11"/>
        <color rgb="FFFF0000"/>
        <rFont val="Times New Roman"/>
        <charset val="134"/>
      </rPr>
      <t xml:space="preserve"> </t>
    </r>
  </si>
  <si>
    <t>RW_RSTN_FW_EN</t>
  </si>
  <si>
    <r>
      <rPr>
        <sz val="11"/>
        <color rgb="FFFF0000"/>
        <rFont val="宋体"/>
        <charset val="134"/>
      </rPr>
      <t>独立控制 是否通过软件配置强制复位芯片</t>
    </r>
    <r>
      <rPr>
        <sz val="11"/>
        <color rgb="FFFF0000"/>
        <rFont val="Times New Roman"/>
        <charset val="134"/>
      </rPr>
      <t xml:space="preserve">:
1: </t>
    </r>
    <r>
      <rPr>
        <sz val="11"/>
        <color rgb="FFFF0000"/>
        <rFont val="宋体"/>
        <charset val="134"/>
      </rPr>
      <t>使能复位芯片</t>
    </r>
    <r>
      <rPr>
        <sz val="11"/>
        <color rgb="FFFF0000"/>
        <rFont val="Times New Roman"/>
        <charset val="134"/>
      </rPr>
      <t xml:space="preserve">,hard-reset;  0: </t>
    </r>
    <r>
      <rPr>
        <sz val="11"/>
        <color rgb="FFFF0000"/>
        <rFont val="宋体"/>
        <charset val="134"/>
      </rPr>
      <t>不使能</t>
    </r>
    <r>
      <rPr>
        <sz val="11"/>
        <color rgb="FFFF0000"/>
        <rFont val="Times New Roman"/>
        <charset val="134"/>
      </rPr>
      <t>;</t>
    </r>
    <r>
      <rPr>
        <sz val="11"/>
        <color rgb="FFFF0000"/>
        <rFont val="Times New Roman"/>
        <charset val="134"/>
      </rPr>
      <t xml:space="preserve">
</t>
    </r>
    <r>
      <rPr>
        <sz val="11"/>
        <color rgb="FFFF0000"/>
        <rFont val="宋体"/>
        <charset val="134"/>
      </rPr>
      <t>默认不开启,</t>
    </r>
    <r>
      <rPr>
        <sz val="11"/>
        <color rgb="FFFF0000"/>
        <rFont val="Times New Roman"/>
        <charset val="134"/>
      </rPr>
      <t xml:space="preserve"> </t>
    </r>
    <r>
      <rPr>
        <sz val="11"/>
        <color rgb="FFFF0000"/>
        <rFont val="宋体"/>
        <charset val="134"/>
      </rPr>
      <t>需要谨慎操作</t>
    </r>
    <r>
      <rPr>
        <sz val="11"/>
        <color rgb="FFFF0000"/>
        <rFont val="Times New Roman"/>
        <charset val="134"/>
      </rPr>
      <t xml:space="preserve">, </t>
    </r>
    <r>
      <rPr>
        <sz val="11"/>
        <color rgb="FFFF0000"/>
        <rFont val="宋体"/>
        <charset val="134"/>
      </rPr>
      <t>开启后芯片强制复位</t>
    </r>
    <r>
      <rPr>
        <sz val="11"/>
        <color rgb="FFFF0000"/>
        <rFont val="Times New Roman"/>
        <charset val="134"/>
      </rPr>
      <t>;</t>
    </r>
  </si>
  <si>
    <t>RW_RSTN_BOR33_EN</t>
  </si>
  <si>
    <r>
      <rPr>
        <sz val="11"/>
        <color rgb="FFFF0000"/>
        <rFont val="宋体"/>
        <charset val="134"/>
      </rPr>
      <t>独立控制</t>
    </r>
    <r>
      <rPr>
        <sz val="11"/>
        <color rgb="FFFF0000"/>
        <rFont val="Times New Roman"/>
        <charset val="134"/>
      </rPr>
      <t xml:space="preserve"> </t>
    </r>
    <r>
      <rPr>
        <sz val="11"/>
        <color rgb="FFFF0000"/>
        <rFont val="宋体"/>
        <charset val="134"/>
      </rPr>
      <t xml:space="preserve">是否让 </t>
    </r>
    <r>
      <rPr>
        <sz val="11"/>
        <color rgb="FFFF0000"/>
        <rFont val="Times New Roman"/>
        <charset val="134"/>
      </rPr>
      <t>VDD33</t>
    </r>
    <r>
      <rPr>
        <sz val="11"/>
        <color rgb="FFFF0000"/>
        <rFont val="宋体"/>
        <charset val="134"/>
      </rPr>
      <t>的</t>
    </r>
    <r>
      <rPr>
        <sz val="11"/>
        <color rgb="FFFF0000"/>
        <rFont val="Times New Roman"/>
        <charset val="134"/>
      </rPr>
      <t>BOR</t>
    </r>
    <r>
      <rPr>
        <sz val="11"/>
        <color rgb="FFFF0000"/>
        <rFont val="宋体"/>
        <charset val="134"/>
      </rPr>
      <t>信号复位芯片的使能</t>
    </r>
    <r>
      <rPr>
        <sz val="11"/>
        <color rgb="FFFF0000"/>
        <rFont val="Times New Roman"/>
        <charset val="134"/>
      </rPr>
      <t xml:space="preserve">:
1: </t>
    </r>
    <r>
      <rPr>
        <sz val="11"/>
        <color rgb="FFFF0000"/>
        <rFont val="宋体"/>
        <charset val="134"/>
      </rPr>
      <t>使能</t>
    </r>
    <r>
      <rPr>
        <sz val="11"/>
        <color rgb="FFFF0000"/>
        <rFont val="Times New Roman"/>
        <charset val="134"/>
      </rPr>
      <t xml:space="preserve">;  0: </t>
    </r>
    <r>
      <rPr>
        <sz val="11"/>
        <color rgb="FFFF0000"/>
        <rFont val="宋体"/>
        <charset val="134"/>
      </rPr>
      <t>不使能</t>
    </r>
    <r>
      <rPr>
        <sz val="11"/>
        <color rgb="FFFF0000"/>
        <rFont val="Times New Roman"/>
        <charset val="134"/>
      </rPr>
      <t>;</t>
    </r>
    <r>
      <rPr>
        <sz val="11"/>
        <color rgb="FFFF0000"/>
        <rFont val="宋体"/>
        <charset val="134"/>
      </rPr>
      <t xml:space="preserve">
默认不开启</t>
    </r>
    <r>
      <rPr>
        <sz val="11"/>
        <color rgb="FFFF0000"/>
        <rFont val="Times New Roman"/>
        <charset val="134"/>
      </rPr>
      <t xml:space="preserve">, </t>
    </r>
    <r>
      <rPr>
        <sz val="11"/>
        <color rgb="FFFF0000"/>
        <rFont val="宋体"/>
        <charset val="134"/>
      </rPr>
      <t>需要谨慎操作</t>
    </r>
    <r>
      <rPr>
        <sz val="11"/>
        <color rgb="FFFF0000"/>
        <rFont val="Times New Roman"/>
        <charset val="134"/>
      </rPr>
      <t xml:space="preserve">, </t>
    </r>
    <r>
      <rPr>
        <sz val="11"/>
        <color rgb="FFFF0000"/>
        <rFont val="宋体"/>
        <charset val="134"/>
      </rPr>
      <t>开启后芯片强制复位</t>
    </r>
    <r>
      <rPr>
        <sz val="11"/>
        <color rgb="FFFF0000"/>
        <rFont val="Times New Roman"/>
        <charset val="134"/>
      </rPr>
      <t>;</t>
    </r>
  </si>
  <si>
    <t>RW_ANA_PVD_EN</t>
  </si>
  <si>
    <r>
      <rPr>
        <sz val="11"/>
        <color rgb="FF000000"/>
        <rFont val="宋体"/>
        <charset val="134"/>
      </rPr>
      <t>控制</t>
    </r>
    <r>
      <rPr>
        <sz val="11"/>
        <color rgb="FF000000"/>
        <rFont val="Times New Roman"/>
        <charset val="134"/>
      </rPr>
      <t xml:space="preserve"> VDD33 PVD </t>
    </r>
    <r>
      <rPr>
        <sz val="11"/>
        <color rgb="FF000000"/>
        <rFont val="宋体"/>
        <charset val="134"/>
      </rPr>
      <t>模块使能</t>
    </r>
    <r>
      <rPr>
        <sz val="11"/>
        <color rgb="FF000000"/>
        <rFont val="Times New Roman"/>
        <charset val="134"/>
      </rPr>
      <t xml:space="preserve">:
1: </t>
    </r>
    <r>
      <rPr>
        <sz val="11"/>
        <color rgb="FF000000"/>
        <rFont val="宋体"/>
        <charset val="134"/>
      </rPr>
      <t>使能</t>
    </r>
    <r>
      <rPr>
        <sz val="11"/>
        <color rgb="FF000000"/>
        <rFont val="Times New Roman"/>
        <charset val="134"/>
      </rPr>
      <t xml:space="preserve">;  0: </t>
    </r>
    <r>
      <rPr>
        <sz val="11"/>
        <color rgb="FF000000"/>
        <rFont val="宋体"/>
        <charset val="134"/>
      </rPr>
      <t>关闭</t>
    </r>
    <r>
      <rPr>
        <sz val="11"/>
        <color rgb="FF000000"/>
        <rFont val="Times New Roman"/>
        <charset val="134"/>
      </rPr>
      <t>;</t>
    </r>
    <r>
      <rPr>
        <sz val="11"/>
        <color rgb="FF000000"/>
        <rFont val="宋体"/>
        <charset val="134"/>
      </rPr>
      <t xml:space="preserve">
默认关闭</t>
    </r>
    <r>
      <rPr>
        <sz val="11"/>
        <color rgb="FF000000"/>
        <rFont val="Times New Roman"/>
        <charset val="134"/>
      </rPr>
      <t xml:space="preserve">, </t>
    </r>
    <r>
      <rPr>
        <sz val="11"/>
        <color rgb="FF000000"/>
        <rFont val="宋体"/>
        <charset val="134"/>
      </rPr>
      <t>上电后开启</t>
    </r>
    <r>
      <rPr>
        <sz val="11"/>
        <color rgb="FF000000"/>
        <rFont val="Times New Roman"/>
        <charset val="134"/>
      </rPr>
      <t>;</t>
    </r>
    <r>
      <rPr>
        <sz val="11"/>
        <color rgb="FF000000"/>
        <rFont val="Times New Roman"/>
        <charset val="134"/>
      </rPr>
      <t xml:space="preserve"> 
</t>
    </r>
    <r>
      <rPr>
        <sz val="11"/>
        <color rgb="FF000000"/>
        <rFont val="宋体"/>
        <charset val="134"/>
      </rPr>
      <t>睡眠模式下,受</t>
    </r>
    <r>
      <rPr>
        <sz val="11"/>
        <color rgb="FF000000"/>
        <rFont val="Times New Roman"/>
        <charset val="134"/>
      </rPr>
      <t xml:space="preserve">RW_ANA_EN=0 </t>
    </r>
    <r>
      <rPr>
        <sz val="11"/>
        <color rgb="FF000000"/>
        <rFont val="宋体"/>
        <charset val="134"/>
      </rPr>
      <t>控制关闭</t>
    </r>
    <r>
      <rPr>
        <sz val="11"/>
        <color rgb="FF000000"/>
        <rFont val="Times New Roman"/>
        <charset val="134"/>
      </rPr>
      <t>;</t>
    </r>
  </si>
  <si>
    <t>RW_ANA_TJ_EN</t>
  </si>
  <si>
    <r>
      <rPr>
        <sz val="11"/>
        <color rgb="FF000000"/>
        <rFont val="宋体"/>
        <charset val="134"/>
      </rPr>
      <t>控制</t>
    </r>
    <r>
      <rPr>
        <sz val="11"/>
        <color rgb="FF000000"/>
        <rFont val="Times New Roman"/>
        <charset val="134"/>
      </rPr>
      <t xml:space="preserve"> TJ </t>
    </r>
    <r>
      <rPr>
        <sz val="11"/>
        <color rgb="FF000000"/>
        <rFont val="宋体"/>
        <charset val="134"/>
      </rPr>
      <t>内部温度检测模块使能</t>
    </r>
    <r>
      <rPr>
        <sz val="11"/>
        <color rgb="FF000000"/>
        <rFont val="Times New Roman"/>
        <charset val="134"/>
      </rPr>
      <t xml:space="preserve">:
1: </t>
    </r>
    <r>
      <rPr>
        <sz val="11"/>
        <color rgb="FF000000"/>
        <rFont val="宋体"/>
        <charset val="134"/>
      </rPr>
      <t>使能</t>
    </r>
    <r>
      <rPr>
        <sz val="11"/>
        <color rgb="FF000000"/>
        <rFont val="Times New Roman"/>
        <charset val="134"/>
      </rPr>
      <t xml:space="preserve">;  0: </t>
    </r>
    <r>
      <rPr>
        <sz val="11"/>
        <color rgb="FF000000"/>
        <rFont val="宋体"/>
        <charset val="134"/>
      </rPr>
      <t>关闭</t>
    </r>
    <r>
      <rPr>
        <sz val="11"/>
        <color rgb="FF000000"/>
        <rFont val="Times New Roman"/>
        <charset val="134"/>
      </rPr>
      <t>;</t>
    </r>
    <r>
      <rPr>
        <sz val="11"/>
        <color rgb="FF000000"/>
        <rFont val="宋体"/>
        <charset val="134"/>
      </rPr>
      <t xml:space="preserve">
默认关闭</t>
    </r>
    <r>
      <rPr>
        <sz val="11"/>
        <color rgb="FF000000"/>
        <rFont val="Times New Roman"/>
        <charset val="134"/>
      </rPr>
      <t xml:space="preserve">, </t>
    </r>
    <r>
      <rPr>
        <sz val="11"/>
        <color rgb="FF000000"/>
        <rFont val="宋体"/>
        <charset val="134"/>
      </rPr>
      <t>上电后开启</t>
    </r>
    <r>
      <rPr>
        <sz val="11"/>
        <color rgb="FF000000"/>
        <rFont val="Times New Roman"/>
        <charset val="134"/>
      </rPr>
      <t>;</t>
    </r>
    <r>
      <rPr>
        <sz val="11"/>
        <color rgb="FF000000"/>
        <rFont val="Times New Roman"/>
        <charset val="134"/>
      </rPr>
      <t xml:space="preserve"> 
</t>
    </r>
    <r>
      <rPr>
        <sz val="11"/>
        <color rgb="FF000000"/>
        <rFont val="宋体"/>
        <charset val="134"/>
      </rPr>
      <t>睡眠模式下,受</t>
    </r>
    <r>
      <rPr>
        <sz val="11"/>
        <color rgb="FF000000"/>
        <rFont val="Times New Roman"/>
        <charset val="134"/>
      </rPr>
      <t xml:space="preserve">RW_ANA_EN=0 </t>
    </r>
    <r>
      <rPr>
        <sz val="11"/>
        <color rgb="FF000000"/>
        <rFont val="宋体"/>
        <charset val="134"/>
      </rPr>
      <t>控制关闭</t>
    </r>
    <r>
      <rPr>
        <sz val="11"/>
        <color rgb="FF000000"/>
        <rFont val="Times New Roman"/>
        <charset val="134"/>
      </rPr>
      <t>;</t>
    </r>
  </si>
  <si>
    <t>RW_ANA_TS_EN</t>
  </si>
  <si>
    <r>
      <rPr>
        <sz val="11"/>
        <color rgb="FF000000"/>
        <rFont val="宋体"/>
        <charset val="134"/>
      </rPr>
      <t>控制</t>
    </r>
    <r>
      <rPr>
        <sz val="11"/>
        <color rgb="FF000000"/>
        <rFont val="Times New Roman"/>
        <charset val="134"/>
      </rPr>
      <t xml:space="preserve"> TS </t>
    </r>
    <r>
      <rPr>
        <sz val="11"/>
        <color rgb="FF000000"/>
        <rFont val="宋体"/>
        <charset val="134"/>
      </rPr>
      <t>外部温度检测模块使能</t>
    </r>
    <r>
      <rPr>
        <sz val="11"/>
        <color rgb="FF000000"/>
        <rFont val="Times New Roman"/>
        <charset val="134"/>
      </rPr>
      <t xml:space="preserve">:
1: </t>
    </r>
    <r>
      <rPr>
        <sz val="11"/>
        <color rgb="FF000000"/>
        <rFont val="宋体"/>
        <charset val="134"/>
      </rPr>
      <t>使能</t>
    </r>
    <r>
      <rPr>
        <sz val="11"/>
        <color rgb="FF000000"/>
        <rFont val="Times New Roman"/>
        <charset val="134"/>
      </rPr>
      <t xml:space="preserve">;  0: </t>
    </r>
    <r>
      <rPr>
        <sz val="11"/>
        <color rgb="FF000000"/>
        <rFont val="宋体"/>
        <charset val="134"/>
      </rPr>
      <t>关闭</t>
    </r>
    <r>
      <rPr>
        <sz val="11"/>
        <color rgb="FF000000"/>
        <rFont val="Times New Roman"/>
        <charset val="134"/>
      </rPr>
      <t>;</t>
    </r>
    <r>
      <rPr>
        <sz val="11"/>
        <color rgb="FF000000"/>
        <rFont val="宋体"/>
        <charset val="134"/>
      </rPr>
      <t xml:space="preserve">
默认关闭</t>
    </r>
    <r>
      <rPr>
        <sz val="11"/>
        <color rgb="FF000000"/>
        <rFont val="Times New Roman"/>
        <charset val="134"/>
      </rPr>
      <t xml:space="preserve">, </t>
    </r>
    <r>
      <rPr>
        <sz val="11"/>
        <color rgb="FF000000"/>
        <rFont val="宋体"/>
        <charset val="134"/>
      </rPr>
      <t>上电后, 根据需要开启</t>
    </r>
    <r>
      <rPr>
        <sz val="11"/>
        <color rgb="FF000000"/>
        <rFont val="Times New Roman"/>
        <charset val="134"/>
      </rPr>
      <t xml:space="preserve">; 
</t>
    </r>
    <r>
      <rPr>
        <sz val="11"/>
        <color rgb="FF000000"/>
        <rFont val="宋体"/>
        <charset val="134"/>
      </rPr>
      <t>睡眠模式下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受</t>
    </r>
    <r>
      <rPr>
        <sz val="11"/>
        <color rgb="FF000000"/>
        <rFont val="Times New Roman"/>
        <charset val="134"/>
      </rPr>
      <t xml:space="preserve">RW_ANA_EN=0 </t>
    </r>
    <r>
      <rPr>
        <sz val="11"/>
        <color rgb="FF000000"/>
        <rFont val="宋体"/>
        <charset val="134"/>
      </rPr>
      <t>控制关闭</t>
    </r>
    <r>
      <rPr>
        <sz val="11"/>
        <color rgb="FF000000"/>
        <rFont val="Times New Roman"/>
        <charset val="134"/>
      </rPr>
      <t>;</t>
    </r>
  </si>
  <si>
    <t>RW_ANA_CSA_EN</t>
  </si>
  <si>
    <r>
      <rPr>
        <sz val="11"/>
        <color rgb="FFC00000"/>
        <rFont val="宋体"/>
        <charset val="134"/>
      </rPr>
      <t>控制</t>
    </r>
    <r>
      <rPr>
        <sz val="11"/>
        <color rgb="FFC00000"/>
        <rFont val="Times New Roman"/>
        <charset val="134"/>
      </rPr>
      <t xml:space="preserve"> CSA</t>
    </r>
    <r>
      <rPr>
        <sz val="11"/>
        <color rgb="FFC00000"/>
        <rFont val="宋体"/>
        <charset val="134"/>
      </rPr>
      <t>电流采样模块使能</t>
    </r>
    <r>
      <rPr>
        <sz val="11"/>
        <color rgb="FFC00000"/>
        <rFont val="Times New Roman"/>
        <charset val="134"/>
      </rPr>
      <t xml:space="preserve">:
1: </t>
    </r>
    <r>
      <rPr>
        <sz val="11"/>
        <color rgb="FFC00000"/>
        <rFont val="宋体"/>
        <charset val="134"/>
      </rPr>
      <t>使能</t>
    </r>
    <r>
      <rPr>
        <sz val="11"/>
        <color rgb="FFC00000"/>
        <rFont val="Times New Roman"/>
        <charset val="134"/>
      </rPr>
      <t xml:space="preserve">;  0: </t>
    </r>
    <r>
      <rPr>
        <sz val="11"/>
        <color rgb="FFC00000"/>
        <rFont val="宋体"/>
        <charset val="134"/>
      </rPr>
      <t>关闭</t>
    </r>
    <r>
      <rPr>
        <sz val="11"/>
        <color rgb="FFC00000"/>
        <rFont val="Times New Roman"/>
        <charset val="134"/>
      </rPr>
      <t>;</t>
    </r>
    <r>
      <rPr>
        <sz val="11"/>
        <color rgb="FFC00000"/>
        <rFont val="宋体"/>
        <charset val="134"/>
      </rPr>
      <t xml:space="preserve">
默认关闭</t>
    </r>
    <r>
      <rPr>
        <sz val="11"/>
        <color rgb="FFC00000"/>
        <rFont val="Times New Roman"/>
        <charset val="134"/>
      </rPr>
      <t xml:space="preserve">, </t>
    </r>
    <r>
      <rPr>
        <sz val="11"/>
        <color rgb="FFC00000"/>
        <rFont val="宋体"/>
        <charset val="134"/>
      </rPr>
      <t>上电后开启</t>
    </r>
    <r>
      <rPr>
        <sz val="11"/>
        <color rgb="FFC00000"/>
        <rFont val="Times New Roman"/>
        <charset val="134"/>
      </rPr>
      <t>;</t>
    </r>
    <r>
      <rPr>
        <sz val="11"/>
        <color rgb="FFC00000"/>
        <rFont val="Times New Roman"/>
        <charset val="134"/>
      </rPr>
      <t xml:space="preserve"> 
</t>
    </r>
    <r>
      <rPr>
        <sz val="11"/>
        <color rgb="FFC00000"/>
        <rFont val="宋体"/>
        <charset val="134"/>
      </rPr>
      <t>睡眠模式下,受</t>
    </r>
    <r>
      <rPr>
        <sz val="11"/>
        <color rgb="FFC00000"/>
        <rFont val="Times New Roman"/>
        <charset val="134"/>
      </rPr>
      <t xml:space="preserve">RW_ANA_EN=0 </t>
    </r>
    <r>
      <rPr>
        <sz val="11"/>
        <color rgb="FFC00000"/>
        <rFont val="宋体"/>
        <charset val="134"/>
      </rPr>
      <t>控制关闭</t>
    </r>
    <r>
      <rPr>
        <sz val="11"/>
        <color rgb="FFC00000"/>
        <rFont val="Times New Roman"/>
        <charset val="134"/>
      </rPr>
      <t>;</t>
    </r>
  </si>
  <si>
    <t>RW_ANA_VREFH_EN</t>
  </si>
  <si>
    <r>
      <rPr>
        <sz val="11"/>
        <color rgb="FFC00000"/>
        <rFont val="宋体"/>
        <charset val="134"/>
      </rPr>
      <t>控制</t>
    </r>
    <r>
      <rPr>
        <sz val="11"/>
        <color rgb="FFC00000"/>
        <rFont val="Times New Roman"/>
        <charset val="134"/>
      </rPr>
      <t xml:space="preserve"> ADC VREFH</t>
    </r>
    <r>
      <rPr>
        <sz val="11"/>
        <color rgb="FFC00000"/>
        <rFont val="宋体"/>
        <charset val="134"/>
      </rPr>
      <t>参考使能</t>
    </r>
    <r>
      <rPr>
        <sz val="11"/>
        <color rgb="FFC00000"/>
        <rFont val="Times New Roman"/>
        <charset val="134"/>
      </rPr>
      <t xml:space="preserve">:
1: </t>
    </r>
    <r>
      <rPr>
        <sz val="11"/>
        <color rgb="FFC00000"/>
        <rFont val="宋体"/>
        <charset val="134"/>
      </rPr>
      <t>使能</t>
    </r>
    <r>
      <rPr>
        <sz val="11"/>
        <color rgb="FFC00000"/>
        <rFont val="Times New Roman"/>
        <charset val="134"/>
      </rPr>
      <t xml:space="preserve">;  0: </t>
    </r>
    <r>
      <rPr>
        <sz val="11"/>
        <color rgb="FFC00000"/>
        <rFont val="宋体"/>
        <charset val="134"/>
      </rPr>
      <t>关闭</t>
    </r>
    <r>
      <rPr>
        <sz val="11"/>
        <color rgb="FFC00000"/>
        <rFont val="Times New Roman"/>
        <charset val="134"/>
      </rPr>
      <t>;</t>
    </r>
    <r>
      <rPr>
        <sz val="11"/>
        <color rgb="FFC00000"/>
        <rFont val="宋体"/>
        <charset val="134"/>
      </rPr>
      <t xml:space="preserve">
默认关闭</t>
    </r>
    <r>
      <rPr>
        <sz val="11"/>
        <color rgb="FFC00000"/>
        <rFont val="Times New Roman"/>
        <charset val="134"/>
      </rPr>
      <t xml:space="preserve">, </t>
    </r>
    <r>
      <rPr>
        <sz val="11"/>
        <color rgb="FFC00000"/>
        <rFont val="宋体"/>
        <charset val="134"/>
      </rPr>
      <t>上电后开启</t>
    </r>
    <r>
      <rPr>
        <sz val="11"/>
        <color rgb="FFC00000"/>
        <rFont val="Times New Roman"/>
        <charset val="134"/>
      </rPr>
      <t>;</t>
    </r>
    <r>
      <rPr>
        <sz val="11"/>
        <color rgb="FFC00000"/>
        <rFont val="Times New Roman"/>
        <charset val="134"/>
      </rPr>
      <t xml:space="preserve"> 
</t>
    </r>
    <r>
      <rPr>
        <sz val="11"/>
        <color rgb="FFC00000"/>
        <rFont val="宋体"/>
        <charset val="134"/>
      </rPr>
      <t>睡眠模式下,受</t>
    </r>
    <r>
      <rPr>
        <sz val="11"/>
        <color rgb="FFC00000"/>
        <rFont val="Times New Roman"/>
        <charset val="134"/>
      </rPr>
      <t xml:space="preserve">RW_ANA_EN=0 </t>
    </r>
    <r>
      <rPr>
        <sz val="11"/>
        <color rgb="FFC00000"/>
        <rFont val="宋体"/>
        <charset val="134"/>
      </rPr>
      <t>控制关闭</t>
    </r>
    <r>
      <rPr>
        <sz val="11"/>
        <color rgb="FFC00000"/>
        <rFont val="Times New Roman"/>
        <charset val="134"/>
      </rPr>
      <t>;</t>
    </r>
    <r>
      <rPr>
        <sz val="11"/>
        <color rgb="FFC00000"/>
        <rFont val="Times New Roman"/>
        <charset val="134"/>
      </rPr>
      <t xml:space="preserve">
</t>
    </r>
    <r>
      <rPr>
        <sz val="11"/>
        <color rgb="FFC00000"/>
        <rFont val="宋体"/>
        <charset val="134"/>
      </rPr>
      <t>（使能后，</t>
    </r>
    <r>
      <rPr>
        <sz val="11"/>
        <color rgb="FFC00000"/>
        <rFont val="Times New Roman"/>
        <charset val="134"/>
      </rPr>
      <t xml:space="preserve">ADC </t>
    </r>
    <r>
      <rPr>
        <sz val="11"/>
        <color rgb="FFC00000"/>
        <rFont val="宋体"/>
        <charset val="134"/>
      </rPr>
      <t>才能正常工作）</t>
    </r>
  </si>
  <si>
    <t>RW_ANA_ADC_EN</t>
  </si>
  <si>
    <r>
      <rPr>
        <sz val="11"/>
        <color rgb="FFC00000"/>
        <rFont val="宋体"/>
        <charset val="134"/>
      </rPr>
      <t>控制</t>
    </r>
    <r>
      <rPr>
        <sz val="11"/>
        <color rgb="FFC00000"/>
        <rFont val="Times New Roman"/>
        <charset val="134"/>
      </rPr>
      <t xml:space="preserve"> ADC</t>
    </r>
    <r>
      <rPr>
        <sz val="11"/>
        <color rgb="FFC00000"/>
        <rFont val="宋体"/>
        <charset val="134"/>
      </rPr>
      <t>模块使能</t>
    </r>
    <r>
      <rPr>
        <sz val="11"/>
        <color rgb="FFC00000"/>
        <rFont val="Times New Roman"/>
        <charset val="134"/>
      </rPr>
      <t xml:space="preserve">:
1: </t>
    </r>
    <r>
      <rPr>
        <sz val="11"/>
        <color rgb="FFC00000"/>
        <rFont val="宋体"/>
        <charset val="134"/>
      </rPr>
      <t>使能</t>
    </r>
    <r>
      <rPr>
        <sz val="11"/>
        <color rgb="FFC00000"/>
        <rFont val="Times New Roman"/>
        <charset val="134"/>
      </rPr>
      <t xml:space="preserve">;  0: </t>
    </r>
    <r>
      <rPr>
        <sz val="11"/>
        <color rgb="FFC00000"/>
        <rFont val="宋体"/>
        <charset val="134"/>
      </rPr>
      <t>关闭</t>
    </r>
    <r>
      <rPr>
        <sz val="11"/>
        <color rgb="FFC00000"/>
        <rFont val="Times New Roman"/>
        <charset val="134"/>
      </rPr>
      <t>;</t>
    </r>
    <r>
      <rPr>
        <sz val="11"/>
        <color rgb="FFC00000"/>
        <rFont val="宋体"/>
        <charset val="134"/>
      </rPr>
      <t xml:space="preserve">
默认关闭</t>
    </r>
    <r>
      <rPr>
        <sz val="11"/>
        <color rgb="FFC00000"/>
        <rFont val="Times New Roman"/>
        <charset val="134"/>
      </rPr>
      <t xml:space="preserve">, </t>
    </r>
    <r>
      <rPr>
        <sz val="11"/>
        <color rgb="FFC00000"/>
        <rFont val="宋体"/>
        <charset val="134"/>
      </rPr>
      <t>上电后开启</t>
    </r>
    <r>
      <rPr>
        <sz val="11"/>
        <color rgb="FFC00000"/>
        <rFont val="Times New Roman"/>
        <charset val="134"/>
      </rPr>
      <t>;</t>
    </r>
    <r>
      <rPr>
        <sz val="11"/>
        <color rgb="FFC00000"/>
        <rFont val="Times New Roman"/>
        <charset val="134"/>
      </rPr>
      <t xml:space="preserve"> 
</t>
    </r>
    <r>
      <rPr>
        <sz val="11"/>
        <color rgb="FFC00000"/>
        <rFont val="宋体"/>
        <charset val="134"/>
      </rPr>
      <t>睡眠模式下,受</t>
    </r>
    <r>
      <rPr>
        <sz val="11"/>
        <color rgb="FFC00000"/>
        <rFont val="Times New Roman"/>
        <charset val="134"/>
      </rPr>
      <t xml:space="preserve">RW_ANA_EN=0 </t>
    </r>
    <r>
      <rPr>
        <sz val="11"/>
        <color rgb="FFC00000"/>
        <rFont val="宋体"/>
        <charset val="134"/>
      </rPr>
      <t>控制关闭</t>
    </r>
    <r>
      <rPr>
        <sz val="11"/>
        <color rgb="FFC00000"/>
        <rFont val="Times New Roman"/>
        <charset val="134"/>
      </rPr>
      <t>;</t>
    </r>
    <r>
      <rPr>
        <sz val="11"/>
        <color rgb="FFC00000"/>
        <rFont val="Times New Roman"/>
        <charset val="134"/>
      </rPr>
      <t xml:space="preserve">
</t>
    </r>
    <r>
      <rPr>
        <sz val="11"/>
        <color rgb="FFC00000"/>
        <rFont val="宋体"/>
        <charset val="134"/>
      </rPr>
      <t>（使能后，</t>
    </r>
    <r>
      <rPr>
        <sz val="11"/>
        <color rgb="FFC00000"/>
        <rFont val="Times New Roman"/>
        <charset val="134"/>
      </rPr>
      <t xml:space="preserve">ADC </t>
    </r>
    <r>
      <rPr>
        <sz val="11"/>
        <color rgb="FFC00000"/>
        <rFont val="宋体"/>
        <charset val="134"/>
      </rPr>
      <t>才能正常工作）</t>
    </r>
  </si>
  <si>
    <t>RW_ANA_HSE_EN</t>
  </si>
  <si>
    <r>
      <rPr>
        <sz val="11"/>
        <color rgb="FF000000"/>
        <rFont val="宋体"/>
        <charset val="134"/>
      </rPr>
      <t>控制</t>
    </r>
    <r>
      <rPr>
        <sz val="11"/>
        <color rgb="FF000000"/>
        <rFont val="Times New Roman"/>
        <charset val="134"/>
      </rPr>
      <t xml:space="preserve"> HSE 16MHz </t>
    </r>
    <r>
      <rPr>
        <sz val="11"/>
        <color rgb="FF000000"/>
        <rFont val="宋体"/>
        <charset val="134"/>
      </rPr>
      <t>晶体时钟使能</t>
    </r>
    <r>
      <rPr>
        <sz val="11"/>
        <color rgb="FF000000"/>
        <rFont val="Times New Roman"/>
        <charset val="134"/>
      </rPr>
      <t xml:space="preserve">:
1: </t>
    </r>
    <r>
      <rPr>
        <sz val="11"/>
        <color rgb="FF000000"/>
        <rFont val="宋体"/>
        <charset val="134"/>
      </rPr>
      <t>使能</t>
    </r>
    <r>
      <rPr>
        <sz val="11"/>
        <color rgb="FF000000"/>
        <rFont val="Times New Roman"/>
        <charset val="134"/>
      </rPr>
      <t xml:space="preserve">;  0: </t>
    </r>
    <r>
      <rPr>
        <sz val="11"/>
        <color rgb="FF000000"/>
        <rFont val="宋体"/>
        <charset val="134"/>
      </rPr>
      <t>关闭</t>
    </r>
    <r>
      <rPr>
        <sz val="11"/>
        <color rgb="FF000000"/>
        <rFont val="Times New Roman"/>
        <charset val="134"/>
      </rPr>
      <t>;</t>
    </r>
    <r>
      <rPr>
        <sz val="11"/>
        <color rgb="FF000000"/>
        <rFont val="宋体"/>
        <charset val="134"/>
      </rPr>
      <t xml:space="preserve">
默认关闭</t>
    </r>
    <r>
      <rPr>
        <sz val="11"/>
        <color rgb="FF000000"/>
        <rFont val="Times New Roman"/>
        <charset val="134"/>
      </rPr>
      <t xml:space="preserve">, </t>
    </r>
    <r>
      <rPr>
        <sz val="11"/>
        <color rgb="FF000000"/>
        <rFont val="宋体"/>
        <charset val="134"/>
      </rPr>
      <t>上电后, 根据需要开启</t>
    </r>
    <r>
      <rPr>
        <sz val="11"/>
        <color rgb="FF000000"/>
        <rFont val="Times New Roman"/>
        <charset val="134"/>
      </rPr>
      <t xml:space="preserve">; 
</t>
    </r>
    <r>
      <rPr>
        <sz val="11"/>
        <color rgb="FF000000"/>
        <rFont val="宋体"/>
        <charset val="134"/>
      </rPr>
      <t>睡眠模式下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受</t>
    </r>
    <r>
      <rPr>
        <sz val="11"/>
        <color rgb="FF000000"/>
        <rFont val="Times New Roman"/>
        <charset val="134"/>
      </rPr>
      <t xml:space="preserve">RW_ANA_EN=0 </t>
    </r>
    <r>
      <rPr>
        <sz val="11"/>
        <color rgb="FF000000"/>
        <rFont val="宋体"/>
        <charset val="134"/>
      </rPr>
      <t>控制关闭</t>
    </r>
    <r>
      <rPr>
        <sz val="11"/>
        <color rgb="FF000000"/>
        <rFont val="Times New Roman"/>
        <charset val="134"/>
      </rPr>
      <t>;</t>
    </r>
  </si>
  <si>
    <t>RW_ANA_PLL_EN</t>
  </si>
  <si>
    <r>
      <rPr>
        <sz val="11"/>
        <color rgb="FF000000"/>
        <rFont val="宋体"/>
        <charset val="134"/>
      </rPr>
      <t>控制</t>
    </r>
    <r>
      <rPr>
        <sz val="11"/>
        <color rgb="FF000000"/>
        <rFont val="Times New Roman"/>
        <charset val="134"/>
      </rPr>
      <t xml:space="preserve"> PLL </t>
    </r>
    <r>
      <rPr>
        <sz val="11"/>
        <color rgb="FF000000"/>
        <rFont val="宋体"/>
        <charset val="134"/>
      </rPr>
      <t>时钟使能</t>
    </r>
    <r>
      <rPr>
        <sz val="11"/>
        <color rgb="FF000000"/>
        <rFont val="Times New Roman"/>
        <charset val="134"/>
      </rPr>
      <t xml:space="preserve">:
1: </t>
    </r>
    <r>
      <rPr>
        <sz val="11"/>
        <color rgb="FF000000"/>
        <rFont val="宋体"/>
        <charset val="134"/>
      </rPr>
      <t>使能</t>
    </r>
    <r>
      <rPr>
        <sz val="11"/>
        <color rgb="FF000000"/>
        <rFont val="Times New Roman"/>
        <charset val="134"/>
      </rPr>
      <t xml:space="preserve">;  0: </t>
    </r>
    <r>
      <rPr>
        <sz val="11"/>
        <color rgb="FF000000"/>
        <rFont val="宋体"/>
        <charset val="134"/>
      </rPr>
      <t>关闭</t>
    </r>
    <r>
      <rPr>
        <sz val="11"/>
        <color rgb="FF000000"/>
        <rFont val="Times New Roman"/>
        <charset val="134"/>
      </rPr>
      <t>;</t>
    </r>
    <r>
      <rPr>
        <sz val="11"/>
        <color rgb="FF000000"/>
        <rFont val="宋体"/>
        <charset val="134"/>
      </rPr>
      <t xml:space="preserve">
默认关闭</t>
    </r>
    <r>
      <rPr>
        <sz val="11"/>
        <color rgb="FF000000"/>
        <rFont val="Times New Roman"/>
        <charset val="134"/>
      </rPr>
      <t xml:space="preserve">, </t>
    </r>
    <r>
      <rPr>
        <sz val="11"/>
        <color rgb="FF000000"/>
        <rFont val="宋体"/>
        <charset val="134"/>
      </rPr>
      <t>上电后开启</t>
    </r>
    <r>
      <rPr>
        <sz val="11"/>
        <color rgb="FF000000"/>
        <rFont val="Times New Roman"/>
        <charset val="134"/>
      </rPr>
      <t>;</t>
    </r>
    <r>
      <rPr>
        <sz val="11"/>
        <color rgb="FF000000"/>
        <rFont val="Times New Roman"/>
        <charset val="134"/>
      </rPr>
      <t xml:space="preserve"> 
</t>
    </r>
    <r>
      <rPr>
        <sz val="11"/>
        <color rgb="FF000000"/>
        <rFont val="宋体"/>
        <charset val="134"/>
      </rPr>
      <t>睡眠模式下,受</t>
    </r>
    <r>
      <rPr>
        <sz val="11"/>
        <color rgb="FF000000"/>
        <rFont val="Times New Roman"/>
        <charset val="134"/>
      </rPr>
      <t xml:space="preserve">RW_ANA_EN=0 </t>
    </r>
    <r>
      <rPr>
        <sz val="11"/>
        <color rgb="FF000000"/>
        <rFont val="宋体"/>
        <charset val="134"/>
      </rPr>
      <t>控制关闭</t>
    </r>
    <r>
      <rPr>
        <sz val="11"/>
        <color rgb="FF000000"/>
        <rFont val="Times New Roman"/>
        <charset val="134"/>
      </rPr>
      <t>;</t>
    </r>
  </si>
  <si>
    <t>RW_ANA_NG_EN</t>
  </si>
  <si>
    <r>
      <rPr>
        <sz val="11"/>
        <color rgb="FF000000"/>
        <rFont val="宋体"/>
        <charset val="134"/>
      </rPr>
      <t>控制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消抖</t>
    </r>
    <r>
      <rPr>
        <sz val="11"/>
        <color rgb="FF000000"/>
        <rFont val="Times New Roman"/>
        <charset val="134"/>
      </rPr>
      <t xml:space="preserve">NG </t>
    </r>
    <r>
      <rPr>
        <sz val="11"/>
        <color rgb="FF000000"/>
        <rFont val="宋体"/>
        <charset val="134"/>
      </rPr>
      <t>是否使能</t>
    </r>
    <r>
      <rPr>
        <sz val="11"/>
        <color rgb="FF000000"/>
        <rFont val="Times New Roman"/>
        <charset val="134"/>
      </rPr>
      <t xml:space="preserve">:
1: </t>
    </r>
    <r>
      <rPr>
        <sz val="11"/>
        <color rgb="FF000000"/>
        <rFont val="宋体"/>
        <charset val="134"/>
      </rPr>
      <t>使能</t>
    </r>
    <r>
      <rPr>
        <sz val="11"/>
        <color rgb="FF000000"/>
        <rFont val="Times New Roman"/>
        <charset val="134"/>
      </rPr>
      <t xml:space="preserve">;  0: </t>
    </r>
    <r>
      <rPr>
        <sz val="11"/>
        <color rgb="FF000000"/>
        <rFont val="宋体"/>
        <charset val="134"/>
      </rPr>
      <t>关闭</t>
    </r>
    <r>
      <rPr>
        <sz val="11"/>
        <color rgb="FF000000"/>
        <rFont val="Times New Roman"/>
        <charset val="134"/>
      </rPr>
      <t>;</t>
    </r>
    <r>
      <rPr>
        <sz val="11"/>
        <color rgb="FF000000"/>
        <rFont val="宋体"/>
        <charset val="134"/>
      </rPr>
      <t xml:space="preserve">
默认关闭</t>
    </r>
    <r>
      <rPr>
        <sz val="11"/>
        <color rgb="FF000000"/>
        <rFont val="Times New Roman"/>
        <charset val="134"/>
      </rPr>
      <t xml:space="preserve">, </t>
    </r>
    <r>
      <rPr>
        <sz val="11"/>
        <color rgb="FF000000"/>
        <rFont val="宋体"/>
        <charset val="134"/>
      </rPr>
      <t>上电后开启</t>
    </r>
    <r>
      <rPr>
        <sz val="11"/>
        <color rgb="FF000000"/>
        <rFont val="Times New Roman"/>
        <charset val="134"/>
      </rPr>
      <t>;</t>
    </r>
    <r>
      <rPr>
        <sz val="11"/>
        <color rgb="FF000000"/>
        <rFont val="Times New Roman"/>
        <charset val="134"/>
      </rPr>
      <t xml:space="preserve"> 
</t>
    </r>
    <r>
      <rPr>
        <sz val="11"/>
        <color rgb="FF000000"/>
        <rFont val="宋体"/>
        <charset val="134"/>
      </rPr>
      <t>睡眠模式下,受</t>
    </r>
    <r>
      <rPr>
        <sz val="11"/>
        <color rgb="FF000000"/>
        <rFont val="Times New Roman"/>
        <charset val="134"/>
      </rPr>
      <t xml:space="preserve">RW_ANA_EN=0 </t>
    </r>
    <r>
      <rPr>
        <sz val="11"/>
        <color rgb="FF000000"/>
        <rFont val="宋体"/>
        <charset val="134"/>
      </rPr>
      <t>控制关闭</t>
    </r>
    <r>
      <rPr>
        <sz val="11"/>
        <color rgb="FF000000"/>
        <rFont val="Times New Roman"/>
        <charset val="134"/>
      </rPr>
      <t>;</t>
    </r>
  </si>
  <si>
    <t>RW_ANA_BG_EN</t>
  </si>
  <si>
    <r>
      <rPr>
        <sz val="11"/>
        <color rgb="FFFF0000"/>
        <rFont val="宋体"/>
        <charset val="134"/>
      </rPr>
      <t>控制</t>
    </r>
    <r>
      <rPr>
        <sz val="11"/>
        <color rgb="FFFF0000"/>
        <rFont val="Times New Roman"/>
        <charset val="134"/>
      </rPr>
      <t xml:space="preserve"> BG </t>
    </r>
    <r>
      <rPr>
        <sz val="11"/>
        <color rgb="FFFF0000"/>
        <rFont val="宋体"/>
        <charset val="134"/>
      </rPr>
      <t>参考使能</t>
    </r>
    <r>
      <rPr>
        <sz val="11"/>
        <color rgb="FFFF0000"/>
        <rFont val="Times New Roman"/>
        <charset val="134"/>
      </rPr>
      <t xml:space="preserve">:
1: </t>
    </r>
    <r>
      <rPr>
        <sz val="11"/>
        <color rgb="FFFF0000"/>
        <rFont val="宋体"/>
        <charset val="134"/>
      </rPr>
      <t>使能</t>
    </r>
    <r>
      <rPr>
        <sz val="11"/>
        <color rgb="FFFF0000"/>
        <rFont val="Times New Roman"/>
        <charset val="134"/>
      </rPr>
      <t xml:space="preserve">;  0: </t>
    </r>
    <r>
      <rPr>
        <sz val="11"/>
        <color rgb="FFFF0000"/>
        <rFont val="宋体"/>
        <charset val="134"/>
      </rPr>
      <t>关闭</t>
    </r>
    <r>
      <rPr>
        <sz val="11"/>
        <color rgb="FFFF0000"/>
        <rFont val="Times New Roman"/>
        <charset val="134"/>
      </rPr>
      <t xml:space="preserve">;
</t>
    </r>
    <r>
      <rPr>
        <sz val="11"/>
        <color rgb="FFFF0000"/>
        <rFont val="宋体"/>
        <charset val="134"/>
      </rPr>
      <t>默认开启; 睡眠模式下,受</t>
    </r>
    <r>
      <rPr>
        <sz val="11"/>
        <color rgb="FFFF0000"/>
        <rFont val="Times New Roman"/>
        <charset val="134"/>
      </rPr>
      <t xml:space="preserve">RW_ANA_EN=0 </t>
    </r>
    <r>
      <rPr>
        <sz val="11"/>
        <color rgb="FFFF0000"/>
        <rFont val="宋体"/>
        <charset val="134"/>
      </rPr>
      <t>控制关闭</t>
    </r>
    <r>
      <rPr>
        <sz val="11"/>
        <color rgb="FFFF0000"/>
        <rFont val="Times New Roman"/>
        <charset val="134"/>
      </rPr>
      <t>;</t>
    </r>
  </si>
  <si>
    <t>RW_ANA_REF_EN</t>
  </si>
  <si>
    <r>
      <rPr>
        <sz val="11"/>
        <color rgb="FFFF0000"/>
        <rFont val="宋体"/>
        <charset val="134"/>
      </rPr>
      <t>控制</t>
    </r>
    <r>
      <rPr>
        <sz val="11"/>
        <color rgb="FFFF0000"/>
        <rFont val="Times New Roman"/>
        <charset val="134"/>
      </rPr>
      <t xml:space="preserve"> Normal REF </t>
    </r>
    <r>
      <rPr>
        <sz val="11"/>
        <color rgb="FFFF0000"/>
        <rFont val="宋体"/>
        <charset val="134"/>
      </rPr>
      <t>参考使能</t>
    </r>
    <r>
      <rPr>
        <sz val="11"/>
        <color rgb="FFFF0000"/>
        <rFont val="Times New Roman"/>
        <charset val="134"/>
      </rPr>
      <t xml:space="preserve">:
1: </t>
    </r>
    <r>
      <rPr>
        <sz val="11"/>
        <color rgb="FFFF0000"/>
        <rFont val="宋体"/>
        <charset val="134"/>
      </rPr>
      <t>使能</t>
    </r>
    <r>
      <rPr>
        <sz val="11"/>
        <color rgb="FFFF0000"/>
        <rFont val="Times New Roman"/>
        <charset val="134"/>
      </rPr>
      <t xml:space="preserve">;  0: </t>
    </r>
    <r>
      <rPr>
        <sz val="11"/>
        <color rgb="FFFF0000"/>
        <rFont val="宋体"/>
        <charset val="134"/>
      </rPr>
      <t>关闭</t>
    </r>
    <r>
      <rPr>
        <sz val="11"/>
        <color rgb="FFFF0000"/>
        <rFont val="Times New Roman"/>
        <charset val="134"/>
      </rPr>
      <t xml:space="preserve">;
</t>
    </r>
    <r>
      <rPr>
        <sz val="11"/>
        <color rgb="FFFF0000"/>
        <rFont val="宋体"/>
        <charset val="134"/>
      </rPr>
      <t>默认开启; 睡眠模式下,受</t>
    </r>
    <r>
      <rPr>
        <sz val="11"/>
        <color rgb="FFFF0000"/>
        <rFont val="Times New Roman"/>
        <charset val="134"/>
      </rPr>
      <t xml:space="preserve">RW_ANA_EN=0 </t>
    </r>
    <r>
      <rPr>
        <sz val="11"/>
        <color rgb="FFFF0000"/>
        <rFont val="宋体"/>
        <charset val="134"/>
      </rPr>
      <t>控制关闭</t>
    </r>
    <r>
      <rPr>
        <sz val="11"/>
        <color rgb="FFFF0000"/>
        <rFont val="Times New Roman"/>
        <charset val="134"/>
      </rPr>
      <t>;</t>
    </r>
  </si>
  <si>
    <t>RW_ANA_LDO12_EN</t>
  </si>
  <si>
    <r>
      <rPr>
        <sz val="11"/>
        <color rgb="FFFF0000"/>
        <rFont val="宋体"/>
        <charset val="134"/>
      </rPr>
      <t>控制</t>
    </r>
    <r>
      <rPr>
        <sz val="11"/>
        <color rgb="FFFF0000"/>
        <rFont val="Times New Roman"/>
        <charset val="134"/>
      </rPr>
      <t xml:space="preserve"> LDO12 1.2V </t>
    </r>
    <r>
      <rPr>
        <sz val="11"/>
        <color rgb="FFFF0000"/>
        <rFont val="宋体"/>
        <charset val="134"/>
      </rPr>
      <t>电源使能</t>
    </r>
    <r>
      <rPr>
        <sz val="11"/>
        <color rgb="FFFF0000"/>
        <rFont val="Times New Roman"/>
        <charset val="134"/>
      </rPr>
      <t xml:space="preserve">:
1: </t>
    </r>
    <r>
      <rPr>
        <sz val="11"/>
        <color rgb="FFFF0000"/>
        <rFont val="宋体"/>
        <charset val="134"/>
      </rPr>
      <t>使能正常模式</t>
    </r>
    <r>
      <rPr>
        <sz val="11"/>
        <color rgb="FFFF0000"/>
        <rFont val="Times New Roman"/>
        <charset val="134"/>
      </rPr>
      <t xml:space="preserve">;  0: </t>
    </r>
    <r>
      <rPr>
        <sz val="11"/>
        <color rgb="FFFF0000"/>
        <rFont val="宋体"/>
        <charset val="134"/>
      </rPr>
      <t>低功耗模式</t>
    </r>
    <r>
      <rPr>
        <sz val="11"/>
        <color rgb="FFFF0000"/>
        <rFont val="Times New Roman"/>
        <charset val="134"/>
      </rPr>
      <t xml:space="preserve">;
</t>
    </r>
    <r>
      <rPr>
        <sz val="11"/>
        <color rgb="FFFF0000"/>
        <rFont val="宋体"/>
        <charset val="134"/>
      </rPr>
      <t>默认开启; 睡眠模式下,受</t>
    </r>
    <r>
      <rPr>
        <sz val="11"/>
        <color rgb="FFFF0000"/>
        <rFont val="Times New Roman"/>
        <charset val="134"/>
      </rPr>
      <t xml:space="preserve">RW_ANA_EN=0 </t>
    </r>
    <r>
      <rPr>
        <sz val="11"/>
        <color rgb="FFFF0000"/>
        <rFont val="宋体"/>
        <charset val="134"/>
      </rPr>
      <t>控制关闭</t>
    </r>
    <r>
      <rPr>
        <sz val="11"/>
        <color rgb="FFFF0000"/>
        <rFont val="Times New Roman"/>
        <charset val="134"/>
      </rPr>
      <t>;</t>
    </r>
    <r>
      <rPr>
        <sz val="11"/>
        <color rgb="FFFF0000"/>
        <rFont val="Times New Roman"/>
        <charset val="134"/>
      </rPr>
      <t xml:space="preserve">
</t>
    </r>
    <r>
      <rPr>
        <sz val="11"/>
        <color rgb="FFFF0000"/>
        <rFont val="宋体"/>
        <charset val="134"/>
      </rPr>
      <t>（这里是</t>
    </r>
    <r>
      <rPr>
        <sz val="11"/>
        <color rgb="FFFF0000"/>
        <rFont val="Times New Roman"/>
        <charset val="134"/>
      </rPr>
      <t>LDO</t>
    </r>
    <r>
      <rPr>
        <sz val="11"/>
        <color rgb="FFFF0000"/>
        <rFont val="宋体"/>
        <charset val="134"/>
      </rPr>
      <t>的模式切换，1.2</t>
    </r>
    <r>
      <rPr>
        <sz val="11"/>
        <color rgb="FFFF0000"/>
        <rFont val="Times New Roman"/>
        <charset val="134"/>
      </rPr>
      <t>V</t>
    </r>
    <r>
      <rPr>
        <sz val="11"/>
        <color rgb="FFFF0000"/>
        <rFont val="宋体"/>
        <charset val="134"/>
      </rPr>
      <t>会维持，不会掉电）</t>
    </r>
  </si>
  <si>
    <t>RW_ANA_HSI_EN</t>
  </si>
  <si>
    <r>
      <rPr>
        <sz val="11"/>
        <color rgb="FFFF0000"/>
        <rFont val="宋体"/>
        <charset val="134"/>
      </rPr>
      <t>控制</t>
    </r>
    <r>
      <rPr>
        <sz val="11"/>
        <color rgb="FFFF0000"/>
        <rFont val="Times New Roman"/>
        <charset val="134"/>
      </rPr>
      <t xml:space="preserve"> HSI 32MHz</t>
    </r>
    <r>
      <rPr>
        <sz val="11"/>
        <color rgb="FFFF0000"/>
        <rFont val="宋体"/>
        <charset val="134"/>
      </rPr>
      <t>时钟使能</t>
    </r>
    <r>
      <rPr>
        <sz val="11"/>
        <color rgb="FFFF0000"/>
        <rFont val="Times New Roman"/>
        <charset val="134"/>
      </rPr>
      <t xml:space="preserve">:
1: </t>
    </r>
    <r>
      <rPr>
        <sz val="11"/>
        <color rgb="FFFF0000"/>
        <rFont val="宋体"/>
        <charset val="134"/>
      </rPr>
      <t>使能</t>
    </r>
    <r>
      <rPr>
        <sz val="11"/>
        <color rgb="FFFF0000"/>
        <rFont val="Times New Roman"/>
        <charset val="134"/>
      </rPr>
      <t xml:space="preserve">;  0: </t>
    </r>
    <r>
      <rPr>
        <sz val="11"/>
        <color rgb="FFFF0000"/>
        <rFont val="宋体"/>
        <charset val="134"/>
      </rPr>
      <t>关闭</t>
    </r>
    <r>
      <rPr>
        <sz val="11"/>
        <color rgb="FFFF0000"/>
        <rFont val="Times New Roman"/>
        <charset val="134"/>
      </rPr>
      <t xml:space="preserve">;
</t>
    </r>
    <r>
      <rPr>
        <sz val="11"/>
        <color rgb="FFFF0000"/>
        <rFont val="宋体"/>
        <charset val="134"/>
      </rPr>
      <t>默认开启; 睡眠模式下,受</t>
    </r>
    <r>
      <rPr>
        <sz val="11"/>
        <color rgb="FFFF0000"/>
        <rFont val="Times New Roman"/>
        <charset val="134"/>
      </rPr>
      <t xml:space="preserve">RW_ANA_EN=0 </t>
    </r>
    <r>
      <rPr>
        <sz val="11"/>
        <color rgb="FFFF0000"/>
        <rFont val="宋体"/>
        <charset val="134"/>
      </rPr>
      <t>控制关闭</t>
    </r>
    <r>
      <rPr>
        <sz val="11"/>
        <color rgb="FFFF0000"/>
        <rFont val="Times New Roman"/>
        <charset val="134"/>
      </rPr>
      <t>;</t>
    </r>
  </si>
  <si>
    <t>RW_EN_RSV&lt;0&gt;</t>
  </si>
  <si>
    <r>
      <rPr>
        <sz val="11"/>
        <color rgb="FFFF0000"/>
        <rFont val="宋体"/>
        <charset val="134"/>
      </rPr>
      <t>控制</t>
    </r>
    <r>
      <rPr>
        <sz val="11"/>
        <color rgb="FFFF0000"/>
        <rFont val="Times New Roman"/>
        <charset val="134"/>
      </rPr>
      <t>VDET</t>
    </r>
    <r>
      <rPr>
        <sz val="11"/>
        <color rgb="FFFF0000"/>
        <rFont val="宋体"/>
        <charset val="134"/>
      </rPr>
      <t xml:space="preserve">的使能
</t>
    </r>
    <r>
      <rPr>
        <sz val="11"/>
        <color rgb="FFFF0000"/>
        <rFont val="Times New Roman"/>
        <charset val="134"/>
      </rPr>
      <t xml:space="preserve">1: </t>
    </r>
    <r>
      <rPr>
        <sz val="11"/>
        <color rgb="FFFF0000"/>
        <rFont val="宋体"/>
        <charset val="134"/>
      </rPr>
      <t>使能</t>
    </r>
    <r>
      <rPr>
        <sz val="11"/>
        <color rgb="FFFF0000"/>
        <rFont val="Times New Roman"/>
        <charset val="134"/>
      </rPr>
      <t xml:space="preserve">;  0: </t>
    </r>
    <r>
      <rPr>
        <sz val="11"/>
        <color rgb="FFFF0000"/>
        <rFont val="宋体"/>
        <charset val="134"/>
      </rPr>
      <t>关闭</t>
    </r>
    <r>
      <rPr>
        <sz val="11"/>
        <color rgb="FFFF0000"/>
        <rFont val="Times New Roman"/>
        <charset val="134"/>
      </rPr>
      <t>;</t>
    </r>
    <r>
      <rPr>
        <sz val="11"/>
        <color rgb="FFFF0000"/>
        <rFont val="Times New Roman"/>
        <charset val="134"/>
      </rPr>
      <t xml:space="preserve">
</t>
    </r>
    <r>
      <rPr>
        <sz val="11"/>
        <color rgb="FFFF0000"/>
        <rFont val="宋体"/>
        <charset val="134"/>
      </rPr>
      <t>默认开启</t>
    </r>
    <r>
      <rPr>
        <sz val="11"/>
        <color rgb="FFFF0000"/>
        <rFont val="Times New Roman"/>
        <charset val="134"/>
      </rPr>
      <t xml:space="preserve">; </t>
    </r>
    <r>
      <rPr>
        <sz val="11"/>
        <color rgb="FFFF0000"/>
        <rFont val="宋体"/>
        <charset val="134"/>
      </rPr>
      <t>睡眠模式下</t>
    </r>
    <r>
      <rPr>
        <sz val="11"/>
        <color rgb="FFFF0000"/>
        <rFont val="Times New Roman"/>
        <charset val="134"/>
      </rPr>
      <t>,</t>
    </r>
    <r>
      <rPr>
        <sz val="11"/>
        <color rgb="FFFF0000"/>
        <rFont val="宋体"/>
        <charset val="134"/>
      </rPr>
      <t>受</t>
    </r>
    <r>
      <rPr>
        <sz val="11"/>
        <color rgb="FFFF0000"/>
        <rFont val="Times New Roman"/>
        <charset val="134"/>
      </rPr>
      <t xml:space="preserve">RW_ANA_EN=0 </t>
    </r>
    <r>
      <rPr>
        <sz val="11"/>
        <color rgb="FFFF0000"/>
        <rFont val="宋体"/>
        <charset val="134"/>
      </rPr>
      <t>控制关闭</t>
    </r>
    <r>
      <rPr>
        <sz val="11"/>
        <color rgb="FFFF0000"/>
        <rFont val="Times New Roman"/>
        <charset val="134"/>
      </rPr>
      <t>;</t>
    </r>
  </si>
  <si>
    <t>RW_EN_RSV&lt;1&gt;</t>
  </si>
  <si>
    <r>
      <rPr>
        <sz val="11"/>
        <color rgb="FFFF0000"/>
        <rFont val="宋体"/>
        <charset val="134"/>
      </rPr>
      <t>控制启用全部</t>
    </r>
    <r>
      <rPr>
        <sz val="11"/>
        <color rgb="FFFF0000"/>
        <rFont val="Times New Roman"/>
        <charset val="134"/>
      </rPr>
      <t>PMOS</t>
    </r>
    <r>
      <rPr>
        <sz val="11"/>
        <color rgb="FFFF0000"/>
        <rFont val="宋体"/>
        <charset val="134"/>
      </rPr>
      <t>作为</t>
    </r>
    <r>
      <rPr>
        <sz val="11"/>
        <color rgb="FFFF0000"/>
        <rFont val="Times New Roman"/>
        <charset val="134"/>
      </rPr>
      <t>VDD12D</t>
    </r>
    <r>
      <rPr>
        <sz val="11"/>
        <color rgb="FFFF0000"/>
        <rFont val="宋体"/>
        <charset val="134"/>
      </rPr>
      <t>开关的使能
1：使能；0：关闭</t>
    </r>
    <r>
      <rPr>
        <sz val="11"/>
        <color rgb="FFFF0000"/>
        <rFont val="Times New Roman"/>
        <charset val="134"/>
      </rPr>
      <t xml:space="preserve">
</t>
    </r>
    <r>
      <rPr>
        <sz val="11"/>
        <color rgb="FFFF0000"/>
        <rFont val="宋体"/>
        <charset val="134"/>
      </rPr>
      <t>默认开启；当</t>
    </r>
    <r>
      <rPr>
        <sz val="11"/>
        <color rgb="FFFF0000"/>
        <rFont val="Times New Roman"/>
        <charset val="134"/>
      </rPr>
      <t>VDD12A</t>
    </r>
    <r>
      <rPr>
        <sz val="11"/>
        <color rgb="FFFF0000"/>
        <rFont val="宋体"/>
        <charset val="134"/>
      </rPr>
      <t>发生震荡，可尝试关闭</t>
    </r>
  </si>
  <si>
    <t>RW_EN_RSV&lt;2&gt;</t>
  </si>
  <si>
    <r>
      <rPr>
        <sz val="11"/>
        <color rgb="FFFF0000"/>
        <rFont val="宋体"/>
        <charset val="134"/>
      </rPr>
      <t>控制启用</t>
    </r>
    <r>
      <rPr>
        <sz val="11"/>
        <color rgb="FFFF0000"/>
        <rFont val="Times New Roman"/>
        <charset val="134"/>
      </rPr>
      <t>VDD12A</t>
    </r>
    <r>
      <rPr>
        <sz val="11"/>
        <color rgb="FFFF0000"/>
        <rFont val="宋体"/>
        <charset val="134"/>
      </rPr>
      <t>下拉电阻的使能
1：使能；0：关闭</t>
    </r>
    <r>
      <rPr>
        <sz val="11"/>
        <color rgb="FFFF0000"/>
        <rFont val="Times New Roman"/>
        <charset val="134"/>
      </rPr>
      <t xml:space="preserve">
</t>
    </r>
    <r>
      <rPr>
        <sz val="11"/>
        <color rgb="FFFF0000"/>
        <rFont val="宋体"/>
        <charset val="134"/>
      </rPr>
      <t>默认不启用；当</t>
    </r>
    <r>
      <rPr>
        <sz val="11"/>
        <color rgb="FFFF0000"/>
        <rFont val="Times New Roman"/>
        <charset val="134"/>
      </rPr>
      <t>VDD12A</t>
    </r>
    <r>
      <rPr>
        <sz val="11"/>
        <color rgb="FFFF0000"/>
        <rFont val="宋体"/>
        <charset val="134"/>
      </rPr>
      <t>发生震荡，可尝试开启</t>
    </r>
  </si>
  <si>
    <t>RW_EN_RSV&lt;3&gt;</t>
  </si>
  <si>
    <r>
      <rPr>
        <sz val="11"/>
        <color rgb="FFFF0000"/>
        <rFont val="宋体"/>
        <charset val="134"/>
      </rPr>
      <t>备用寄存器控制，需要有实体。
(用于电路</t>
    </r>
    <r>
      <rPr>
        <sz val="11"/>
        <color rgb="FFFF0000"/>
        <rFont val="Times New Roman"/>
        <charset val="134"/>
      </rPr>
      <t>ECO</t>
    </r>
    <r>
      <rPr>
        <sz val="11"/>
        <color rgb="FFFF0000"/>
        <rFont val="宋体"/>
        <charset val="134"/>
      </rPr>
      <t>修改)</t>
    </r>
  </si>
  <si>
    <t>Summary</t>
  </si>
  <si>
    <t>TEMP----- 0x40007C04</t>
  </si>
  <si>
    <t>温度Tj, Ts 有关的控制寄存器</t>
  </si>
  <si>
    <t>RW_TJ_OTS&lt;1:0&gt;</t>
  </si>
  <si>
    <t>10</t>
  </si>
  <si>
    <t>配置触发过温关断的温度：
00:135C
01:140C
10:145C
11:150C</t>
  </si>
  <si>
    <t>RW_TJ_OTS_NG_EN</t>
  </si>
  <si>
    <t>控制过温关断信号消抖使能：
0：不消抖；1：消抖</t>
  </si>
  <si>
    <t>RW_TJ_OTS_NG&lt;1:0&gt;</t>
  </si>
  <si>
    <t>01</t>
  </si>
  <si>
    <t>配置过温关断信号消抖时长：
00:0.25ms
01:0.5ms
10:1ms
11:2ms</t>
  </si>
  <si>
    <t>RW_TJ_OTS_LAT_CLR</t>
  </si>
  <si>
    <t>控制过温关断锁存信号清零使能：
0：清零；1：保持</t>
  </si>
  <si>
    <t>RW_TJ_OTS_LAT_POL</t>
  </si>
  <si>
    <t>配置过温关断锁存信号触发边沿：
0：上升沿触发；1：下降沿触发</t>
  </si>
  <si>
    <t>NC</t>
  </si>
  <si>
    <r>
      <rPr>
        <sz val="11"/>
        <color rgb="FFFF0000"/>
        <rFont val="宋体"/>
        <charset val="134"/>
      </rPr>
      <t>空</t>
    </r>
    <r>
      <rPr>
        <sz val="11"/>
        <color rgb="FFFF0000"/>
        <rFont val="Times New Roman"/>
        <charset val="134"/>
      </rPr>
      <t>1</t>
    </r>
    <r>
      <rPr>
        <sz val="11"/>
        <color rgb="FFFF0000"/>
        <rFont val="宋体"/>
        <charset val="134"/>
      </rPr>
      <t>位</t>
    </r>
    <r>
      <rPr>
        <sz val="11"/>
        <color rgb="FFFF0000"/>
        <rFont val="Times New Roman"/>
        <charset val="134"/>
      </rPr>
      <t xml:space="preserve">, </t>
    </r>
    <r>
      <rPr>
        <sz val="11"/>
        <color rgb="FFFF0000"/>
        <rFont val="宋体"/>
        <charset val="134"/>
      </rPr>
      <t>占位</t>
    </r>
  </si>
  <si>
    <t>RW_TJ_OTW&lt;1:0&gt;</t>
  </si>
  <si>
    <r>
      <rPr>
        <sz val="11"/>
        <rFont val="宋体"/>
        <charset val="134"/>
      </rPr>
      <t>配置触发过温警报的温度：</t>
    </r>
    <r>
      <rPr>
        <sz val="11"/>
        <rFont val="Times New Roman"/>
        <charset val="134"/>
      </rPr>
      <t xml:space="preserve">
00:120C
01:125C
10:130C
11:135C</t>
    </r>
  </si>
  <si>
    <t>RW_TJ_OTW_NG_EN</t>
  </si>
  <si>
    <r>
      <rPr>
        <sz val="11"/>
        <rFont val="宋体"/>
        <charset val="134"/>
      </rPr>
      <t>控制过温警报信号消抖使能：</t>
    </r>
    <r>
      <rPr>
        <sz val="11"/>
        <rFont val="Times New Roman"/>
        <charset val="134"/>
      </rPr>
      <t xml:space="preserve">
0</t>
    </r>
    <r>
      <rPr>
        <sz val="11"/>
        <rFont val="宋体"/>
        <charset val="134"/>
      </rPr>
      <t>：不消抖；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：消抖</t>
    </r>
  </si>
  <si>
    <t>RW_TJ_OTW_NG&lt;1:0&gt;</t>
  </si>
  <si>
    <r>
      <rPr>
        <sz val="11"/>
        <rFont val="宋体"/>
        <charset val="134"/>
      </rPr>
      <t>配置过温警报信号消抖时长：</t>
    </r>
    <r>
      <rPr>
        <sz val="11"/>
        <rFont val="Times New Roman"/>
        <charset val="134"/>
      </rPr>
      <t xml:space="preserve">
00:0.25ms
01:0.5ms
10:1ms
11:2ms</t>
    </r>
  </si>
  <si>
    <t>RW_TJ_OTW_LAT_CLR</t>
  </si>
  <si>
    <r>
      <rPr>
        <sz val="11"/>
        <rFont val="宋体"/>
        <charset val="134"/>
      </rPr>
      <t>清除过温警报锁存信号：</t>
    </r>
    <r>
      <rPr>
        <sz val="11"/>
        <rFont val="Times New Roman"/>
        <charset val="134"/>
      </rPr>
      <t xml:space="preserve">
0</t>
    </r>
    <r>
      <rPr>
        <sz val="11"/>
        <rFont val="宋体"/>
        <charset val="134"/>
      </rPr>
      <t>：清除；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：不清除</t>
    </r>
  </si>
  <si>
    <t>RW_TJ_OTW_LAT_POL</t>
  </si>
  <si>
    <r>
      <rPr>
        <sz val="11"/>
        <rFont val="宋体"/>
        <charset val="134"/>
      </rPr>
      <t>配置过温警报锁存信号触发边沿：</t>
    </r>
    <r>
      <rPr>
        <sz val="11"/>
        <rFont val="Times New Roman"/>
        <charset val="134"/>
      </rPr>
      <t xml:space="preserve">
0</t>
    </r>
    <r>
      <rPr>
        <sz val="11"/>
        <rFont val="宋体"/>
        <charset val="134"/>
      </rPr>
      <t>：上升沿；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：下降沿</t>
    </r>
  </si>
  <si>
    <t>RW_TS_ISRC&lt;1:0&gt;</t>
  </si>
  <si>
    <r>
      <rPr>
        <sz val="11"/>
        <rFont val="宋体"/>
        <charset val="134"/>
      </rPr>
      <t>配置</t>
    </r>
    <r>
      <rPr>
        <sz val="11"/>
        <rFont val="Times New Roman"/>
        <charset val="134"/>
      </rPr>
      <t>TS</t>
    </r>
    <r>
      <rPr>
        <sz val="11"/>
        <rFont val="宋体"/>
        <charset val="134"/>
      </rPr>
      <t>输出电流：
00：5</t>
    </r>
    <r>
      <rPr>
        <sz val="11"/>
        <rFont val="Times New Roman"/>
        <charset val="134"/>
      </rPr>
      <t>uA
01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20uA
10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40uA:
11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80uA</t>
    </r>
  </si>
  <si>
    <t>RW_TS_GPIO5_EN</t>
  </si>
  <si>
    <r>
      <rPr>
        <sz val="11"/>
        <rFont val="宋体"/>
        <charset val="134"/>
      </rPr>
      <t>控制</t>
    </r>
    <r>
      <rPr>
        <sz val="11"/>
        <rFont val="Times New Roman"/>
        <charset val="134"/>
      </rPr>
      <t>TS</t>
    </r>
    <r>
      <rPr>
        <sz val="11"/>
        <rFont val="宋体"/>
        <charset val="134"/>
      </rPr>
      <t xml:space="preserve">电流流到 </t>
    </r>
    <r>
      <rPr>
        <sz val="11"/>
        <rFont val="Times New Roman"/>
        <charset val="134"/>
      </rPr>
      <t xml:space="preserve">GPIO5 </t>
    </r>
    <r>
      <rPr>
        <sz val="11"/>
        <rFont val="宋体"/>
        <charset val="134"/>
      </rPr>
      <t>使能</t>
    </r>
    <r>
      <rPr>
        <sz val="11"/>
        <rFont val="Times New Roman"/>
        <charset val="134"/>
      </rPr>
      <t>(</t>
    </r>
    <r>
      <rPr>
        <sz val="11"/>
        <rFont val="宋体"/>
        <charset val="134"/>
      </rPr>
      <t>外部接</t>
    </r>
    <r>
      <rPr>
        <sz val="11"/>
        <rFont val="Times New Roman"/>
        <charset val="134"/>
      </rPr>
      <t>NTC</t>
    </r>
    <r>
      <rPr>
        <sz val="11"/>
        <rFont val="宋体"/>
        <charset val="134"/>
      </rPr>
      <t>电阻</t>
    </r>
    <r>
      <rPr>
        <sz val="11"/>
        <rFont val="Times New Roman"/>
        <charset val="134"/>
      </rPr>
      <t>)</t>
    </r>
    <r>
      <rPr>
        <sz val="11"/>
        <rFont val="Times New Roman"/>
        <charset val="134"/>
      </rPr>
      <t xml:space="preserve">
0</t>
    </r>
    <r>
      <rPr>
        <sz val="11"/>
        <rFont val="宋体"/>
        <charset val="134"/>
      </rPr>
      <t>：不使能；1：使能</t>
    </r>
  </si>
  <si>
    <t>RW_TS_GPIO6_EN</t>
  </si>
  <si>
    <r>
      <rPr>
        <sz val="11"/>
        <color rgb="FFFF0000"/>
        <rFont val="宋体"/>
        <charset val="134"/>
      </rPr>
      <t>控制</t>
    </r>
    <r>
      <rPr>
        <sz val="11"/>
        <color rgb="FFFF0000"/>
        <rFont val="Times New Roman"/>
        <charset val="134"/>
      </rPr>
      <t>TS</t>
    </r>
    <r>
      <rPr>
        <sz val="11"/>
        <color rgb="FFFF0000"/>
        <rFont val="宋体"/>
        <charset val="134"/>
      </rPr>
      <t xml:space="preserve">电流流到 </t>
    </r>
    <r>
      <rPr>
        <sz val="11"/>
        <color rgb="FFFF0000"/>
        <rFont val="Times New Roman"/>
        <charset val="134"/>
      </rPr>
      <t xml:space="preserve">GPIO6 </t>
    </r>
    <r>
      <rPr>
        <sz val="11"/>
        <color rgb="FFFF0000"/>
        <rFont val="宋体"/>
        <charset val="134"/>
      </rPr>
      <t>使能</t>
    </r>
    <r>
      <rPr>
        <sz val="11"/>
        <color rgb="FFFF0000"/>
        <rFont val="Times New Roman"/>
        <charset val="134"/>
      </rPr>
      <t>(</t>
    </r>
    <r>
      <rPr>
        <sz val="11"/>
        <color rgb="FFFF0000"/>
        <rFont val="宋体"/>
        <charset val="134"/>
      </rPr>
      <t>外部接</t>
    </r>
    <r>
      <rPr>
        <sz val="11"/>
        <color rgb="FFFF0000"/>
        <rFont val="Times New Roman"/>
        <charset val="134"/>
      </rPr>
      <t>NTC</t>
    </r>
    <r>
      <rPr>
        <sz val="11"/>
        <color rgb="FFFF0000"/>
        <rFont val="宋体"/>
        <charset val="134"/>
      </rPr>
      <t>电阻</t>
    </r>
    <r>
      <rPr>
        <sz val="11"/>
        <color rgb="FFFF0000"/>
        <rFont val="Times New Roman"/>
        <charset val="134"/>
      </rPr>
      <t>)
0</t>
    </r>
    <r>
      <rPr>
        <sz val="11"/>
        <color rgb="FFFF0000"/>
        <rFont val="宋体"/>
        <charset val="134"/>
      </rPr>
      <t>：不使能；1：使能</t>
    </r>
    <r>
      <rPr>
        <sz val="11"/>
        <color rgb="FFFF0000"/>
        <rFont val="Times New Roman"/>
        <charset val="134"/>
      </rPr>
      <t xml:space="preserve">
</t>
    </r>
    <r>
      <rPr>
        <sz val="11"/>
        <color rgb="FFFF0000"/>
        <rFont val="宋体"/>
        <charset val="134"/>
      </rPr>
      <t>注</t>
    </r>
    <r>
      <rPr>
        <sz val="11"/>
        <color rgb="FFFF0000"/>
        <rFont val="Times New Roman"/>
        <charset val="134"/>
      </rPr>
      <t xml:space="preserve">: </t>
    </r>
    <r>
      <rPr>
        <sz val="11"/>
        <color rgb="FFFF0000"/>
        <rFont val="宋体"/>
        <charset val="134"/>
      </rPr>
      <t>用于双路</t>
    </r>
    <r>
      <rPr>
        <sz val="11"/>
        <color rgb="FFFF0000"/>
        <rFont val="Times New Roman"/>
        <charset val="134"/>
      </rPr>
      <t>TS</t>
    </r>
    <r>
      <rPr>
        <sz val="11"/>
        <color rgb="FFFF0000"/>
        <rFont val="宋体"/>
        <charset val="134"/>
      </rPr>
      <t>时</t>
    </r>
    <r>
      <rPr>
        <sz val="11"/>
        <color rgb="FFFF0000"/>
        <rFont val="Times New Roman"/>
        <charset val="134"/>
      </rPr>
      <t xml:space="preserve">, </t>
    </r>
    <r>
      <rPr>
        <sz val="11"/>
        <color rgb="FFFF0000"/>
        <rFont val="宋体"/>
        <charset val="134"/>
      </rPr>
      <t xml:space="preserve">需要分时切换 </t>
    </r>
    <r>
      <rPr>
        <sz val="11"/>
        <color rgb="FFFF0000"/>
        <rFont val="Times New Roman"/>
        <charset val="134"/>
      </rPr>
      <t>GPIO5</t>
    </r>
    <r>
      <rPr>
        <sz val="11"/>
        <color rgb="FFFF0000"/>
        <rFont val="宋体"/>
        <charset val="134"/>
      </rPr>
      <t>和</t>
    </r>
    <r>
      <rPr>
        <sz val="11"/>
        <color rgb="FFFF0000"/>
        <rFont val="Times New Roman"/>
        <charset val="134"/>
      </rPr>
      <t xml:space="preserve">GPIO6; </t>
    </r>
    <r>
      <rPr>
        <sz val="11"/>
        <color rgb="FFFF0000"/>
        <rFont val="宋体"/>
        <charset val="134"/>
      </rPr>
      <t>只有在</t>
    </r>
    <r>
      <rPr>
        <sz val="11"/>
        <color rgb="FFFF0000"/>
        <rFont val="Times New Roman"/>
        <charset val="134"/>
      </rPr>
      <t>ADC</t>
    </r>
    <r>
      <rPr>
        <sz val="11"/>
        <color rgb="FFFF0000"/>
        <rFont val="宋体"/>
        <charset val="134"/>
      </rPr>
      <t>要采样</t>
    </r>
    <r>
      <rPr>
        <sz val="11"/>
        <color rgb="FFFF0000"/>
        <rFont val="Times New Roman"/>
        <charset val="134"/>
      </rPr>
      <t>GPIO5/6</t>
    </r>
    <r>
      <rPr>
        <sz val="11"/>
        <color rgb="FFFF0000"/>
        <rFont val="宋体"/>
        <charset val="134"/>
      </rPr>
      <t>时</t>
    </r>
    <r>
      <rPr>
        <sz val="11"/>
        <color rgb="FFFF0000"/>
        <rFont val="Times New Roman"/>
        <charset val="134"/>
      </rPr>
      <t xml:space="preserve">, </t>
    </r>
    <r>
      <rPr>
        <sz val="11"/>
        <color rgb="FFFF0000"/>
        <rFont val="宋体"/>
        <charset val="134"/>
      </rPr>
      <t>才打开</t>
    </r>
    <r>
      <rPr>
        <sz val="11"/>
        <color rgb="FFFF0000"/>
        <rFont val="Times New Roman"/>
        <charset val="134"/>
      </rPr>
      <t>TS</t>
    </r>
    <r>
      <rPr>
        <sz val="11"/>
        <color rgb="FFFF0000"/>
        <rFont val="宋体"/>
        <charset val="134"/>
      </rPr>
      <t>输出</t>
    </r>
    <r>
      <rPr>
        <sz val="11"/>
        <color rgb="FFFF0000"/>
        <rFont val="Times New Roman"/>
        <charset val="134"/>
      </rPr>
      <t xml:space="preserve">; </t>
    </r>
    <r>
      <rPr>
        <sz val="11"/>
        <color rgb="FFFF0000"/>
        <rFont val="宋体"/>
        <charset val="134"/>
      </rPr>
      <t>不采样时</t>
    </r>
    <r>
      <rPr>
        <sz val="11"/>
        <color rgb="FFFF0000"/>
        <rFont val="Times New Roman"/>
        <charset val="134"/>
      </rPr>
      <t xml:space="preserve">, </t>
    </r>
    <r>
      <rPr>
        <sz val="11"/>
        <color rgb="FFFF0000"/>
        <rFont val="宋体"/>
        <charset val="134"/>
      </rPr>
      <t>可以关闭</t>
    </r>
    <r>
      <rPr>
        <sz val="11"/>
        <color rgb="FFFF0000"/>
        <rFont val="Times New Roman"/>
        <charset val="134"/>
      </rPr>
      <t>TS</t>
    </r>
    <r>
      <rPr>
        <sz val="11"/>
        <color rgb="FFFF0000"/>
        <rFont val="宋体"/>
        <charset val="134"/>
      </rPr>
      <t>电流</t>
    </r>
    <r>
      <rPr>
        <sz val="11"/>
        <color rgb="FFFF0000"/>
        <rFont val="Times New Roman"/>
        <charset val="134"/>
      </rPr>
      <t>;</t>
    </r>
  </si>
  <si>
    <t>RW_TEMP_RSV&lt;1:0&gt;</t>
  </si>
  <si>
    <t>00</t>
  </si>
  <si>
    <t>PVD----- 0x40007C08</t>
  </si>
  <si>
    <r>
      <rPr>
        <b/>
        <sz val="11"/>
        <color rgb="FF000000"/>
        <rFont val="Times New Roman"/>
        <charset val="134"/>
      </rPr>
      <t>VDD33 PVD/BOR</t>
    </r>
    <r>
      <rPr>
        <b/>
        <sz val="11"/>
        <color rgb="FF000000"/>
        <rFont val="宋体"/>
        <charset val="134"/>
      </rPr>
      <t>控制寄存器</t>
    </r>
  </si>
  <si>
    <t>RW_VDD33_PVD_VTH&lt;2:0&gt;</t>
  </si>
  <si>
    <t>011</t>
  </si>
  <si>
    <r>
      <rPr>
        <sz val="11"/>
        <rFont val="宋体"/>
        <charset val="134"/>
      </rPr>
      <t>配置触发</t>
    </r>
    <r>
      <rPr>
        <sz val="11"/>
        <rFont val="Times New Roman"/>
        <charset val="134"/>
      </rPr>
      <t>VDD33 LV</t>
    </r>
    <r>
      <rPr>
        <sz val="11"/>
        <rFont val="宋体"/>
        <charset val="134"/>
      </rPr>
      <t>的阈值
000:2.1</t>
    </r>
    <r>
      <rPr>
        <sz val="11"/>
        <rFont val="Times New Roman"/>
        <charset val="134"/>
      </rPr>
      <t>V
001:2.2V
010:2.3V
011:2.4V
100:2.5V
101:2.6V
110:2.7V
111:2.8V</t>
    </r>
  </si>
  <si>
    <t>RW_VDD33_PVD_NG_EN</t>
  </si>
  <si>
    <r>
      <rPr>
        <sz val="11"/>
        <rFont val="宋体"/>
        <charset val="134"/>
      </rPr>
      <t>控制</t>
    </r>
    <r>
      <rPr>
        <sz val="11"/>
        <rFont val="Times New Roman"/>
        <charset val="134"/>
      </rPr>
      <t>VDD33 LV</t>
    </r>
    <r>
      <rPr>
        <sz val="11"/>
        <rFont val="宋体"/>
        <charset val="134"/>
      </rPr>
      <t>指示信号消抖使能：
0：不消抖；1：消抖</t>
    </r>
  </si>
  <si>
    <t>RW_VDD33_PVD_NG&lt;1:0&gt;</t>
  </si>
  <si>
    <r>
      <rPr>
        <sz val="11"/>
        <rFont val="宋体"/>
        <charset val="134"/>
      </rPr>
      <t>配置</t>
    </r>
    <r>
      <rPr>
        <sz val="11"/>
        <rFont val="Times New Roman"/>
        <charset val="134"/>
      </rPr>
      <t>VDD33 LV</t>
    </r>
    <r>
      <rPr>
        <sz val="11"/>
        <rFont val="宋体"/>
        <charset val="134"/>
      </rPr>
      <t>指示信号消抖时长：
00:8</t>
    </r>
    <r>
      <rPr>
        <sz val="11"/>
        <rFont val="Times New Roman"/>
        <charset val="134"/>
      </rPr>
      <t>us
01:16us
10:32us
11:64us</t>
    </r>
  </si>
  <si>
    <t>RW_VDD33_PVD_LAT_CLR</t>
  </si>
  <si>
    <r>
      <rPr>
        <sz val="11"/>
        <rFont val="宋体"/>
        <charset val="134"/>
      </rPr>
      <t>控制</t>
    </r>
    <r>
      <rPr>
        <sz val="11"/>
        <rFont val="Times New Roman"/>
        <charset val="134"/>
      </rPr>
      <t>VDD33 LV</t>
    </r>
    <r>
      <rPr>
        <sz val="11"/>
        <rFont val="宋体"/>
        <charset val="134"/>
      </rPr>
      <t>锁存信号清零使能：
0：清零；1：保持</t>
    </r>
  </si>
  <si>
    <t>RW_VDD33_PVD_LAT_POL</t>
  </si>
  <si>
    <r>
      <rPr>
        <sz val="11"/>
        <rFont val="宋体"/>
        <charset val="134"/>
      </rPr>
      <t>配置</t>
    </r>
    <r>
      <rPr>
        <sz val="11"/>
        <rFont val="Times New Roman"/>
        <charset val="134"/>
      </rPr>
      <t>VDD33 LV</t>
    </r>
    <r>
      <rPr>
        <sz val="11"/>
        <rFont val="宋体"/>
        <charset val="134"/>
      </rPr>
      <t>锁存信号触发边沿：
0：上升沿触发；1：下降沿触发</t>
    </r>
  </si>
  <si>
    <t>RW_VDD33_BOR_VTH&lt;2:0&gt;</t>
  </si>
  <si>
    <r>
      <rPr>
        <sz val="11"/>
        <rFont val="宋体"/>
        <charset val="134"/>
      </rPr>
      <t>配置触发</t>
    </r>
    <r>
      <rPr>
        <sz val="11"/>
        <rFont val="Times New Roman"/>
        <charset val="134"/>
      </rPr>
      <t>VDD33 BOR</t>
    </r>
    <r>
      <rPr>
        <sz val="11"/>
        <rFont val="宋体"/>
        <charset val="134"/>
      </rPr>
      <t>的阈值</t>
    </r>
    <r>
      <rPr>
        <sz val="11"/>
        <rFont val="Times New Roman"/>
        <charset val="134"/>
      </rPr>
      <t xml:space="preserve">
000:1.8V
001:1.9V
010:2.0V
011:2.1V
100:2.2V
101:2.3V
110:2.4V
111:2.5V</t>
    </r>
  </si>
  <si>
    <t>RW_VDD33_BOR_NG_EN</t>
  </si>
  <si>
    <t>控制VDD33 BOR指示信号消抖使能：
0：不消抖；1：消抖</t>
  </si>
  <si>
    <t>RW_VDD33_BOR_NG&lt;1:0&gt;</t>
  </si>
  <si>
    <r>
      <rPr>
        <sz val="11"/>
        <rFont val="宋体"/>
        <charset val="134"/>
      </rPr>
      <t>配置</t>
    </r>
    <r>
      <rPr>
        <sz val="11"/>
        <rFont val="Times New Roman"/>
        <charset val="134"/>
      </rPr>
      <t>VDD33 BOR</t>
    </r>
    <r>
      <rPr>
        <sz val="11"/>
        <rFont val="宋体"/>
        <charset val="134"/>
      </rPr>
      <t>指示信号消抖时长：</t>
    </r>
    <r>
      <rPr>
        <sz val="11"/>
        <rFont val="Times New Roman"/>
        <charset val="134"/>
      </rPr>
      <t xml:space="preserve">
00:8us
01:16us
10:32us
11:64us</t>
    </r>
  </si>
  <si>
    <t>RW_VDD33_BOR_LAT_CLR</t>
  </si>
  <si>
    <r>
      <rPr>
        <sz val="11"/>
        <rFont val="宋体"/>
        <charset val="134"/>
      </rPr>
      <t>控制</t>
    </r>
    <r>
      <rPr>
        <sz val="11"/>
        <rFont val="Times New Roman"/>
        <charset val="134"/>
      </rPr>
      <t>VDD33 BOR</t>
    </r>
    <r>
      <rPr>
        <sz val="11"/>
        <rFont val="宋体"/>
        <charset val="134"/>
      </rPr>
      <t>锁存信号清零使能：
0：清零；1：保持</t>
    </r>
  </si>
  <si>
    <t>RW_VDD33_BOR_LAT_POL</t>
  </si>
  <si>
    <r>
      <rPr>
        <sz val="11"/>
        <rFont val="宋体"/>
        <charset val="134"/>
      </rPr>
      <t>配置</t>
    </r>
    <r>
      <rPr>
        <sz val="11"/>
        <rFont val="Times New Roman"/>
        <charset val="134"/>
      </rPr>
      <t>VDD33 BOR</t>
    </r>
    <r>
      <rPr>
        <sz val="11"/>
        <rFont val="宋体"/>
        <charset val="134"/>
      </rPr>
      <t>锁存信号触发边沿：
0：上升沿触发；1：下降沿触发</t>
    </r>
  </si>
  <si>
    <t>RW_PVD_RSV&lt;1:0&gt;</t>
  </si>
  <si>
    <r>
      <rPr>
        <sz val="11"/>
        <color rgb="FFFF0000"/>
        <rFont val="宋体"/>
        <charset val="134"/>
      </rPr>
      <t>备用寄存器控制，需要有实体。
(用于电路</t>
    </r>
    <r>
      <rPr>
        <sz val="11"/>
        <color rgb="FFFF0000"/>
        <rFont val="Times New Roman"/>
        <charset val="134"/>
      </rPr>
      <t>ECO</t>
    </r>
    <r>
      <rPr>
        <sz val="11"/>
        <color rgb="FFFF0000"/>
        <rFont val="宋体"/>
        <charset val="134"/>
      </rPr>
      <t>修改)</t>
    </r>
  </si>
  <si>
    <t>CLK----- 0x40007C0C</t>
  </si>
  <si>
    <t>时钟PLL,HSE,LSI控制寄存器</t>
  </si>
  <si>
    <t>RW_PLL_REF_SWAP</t>
  </si>
  <si>
    <r>
      <rPr>
        <sz val="11"/>
        <rFont val="宋体"/>
        <charset val="134"/>
      </rPr>
      <t>晶振异常时控制</t>
    </r>
    <r>
      <rPr>
        <sz val="11"/>
        <rFont val="Times New Roman"/>
        <charset val="134"/>
      </rPr>
      <t>PLL</t>
    </r>
    <r>
      <rPr>
        <sz val="11"/>
        <rFont val="宋体"/>
        <charset val="134"/>
      </rPr>
      <t>时钟源自动切换到内部</t>
    </r>
    <r>
      <rPr>
        <sz val="11"/>
        <rFont val="Times New Roman"/>
        <charset val="134"/>
      </rPr>
      <t>RCO
0</t>
    </r>
    <r>
      <rPr>
        <sz val="11"/>
        <rFont val="宋体"/>
        <charset val="134"/>
      </rPr>
      <t>：晶振异常时不触发切换；1：晶振异常时自动切换</t>
    </r>
  </si>
  <si>
    <t>RW_PLL_REF_SEL</t>
  </si>
  <si>
    <r>
      <rPr>
        <sz val="11"/>
        <rFont val="宋体"/>
        <charset val="134"/>
      </rPr>
      <t>配置</t>
    </r>
    <r>
      <rPr>
        <sz val="11"/>
        <rFont val="Times New Roman"/>
        <charset val="134"/>
      </rPr>
      <t>PLL</t>
    </r>
    <r>
      <rPr>
        <sz val="11"/>
        <rFont val="宋体"/>
        <charset val="134"/>
      </rPr>
      <t>参考时钟源：
0:</t>
    </r>
    <r>
      <rPr>
        <sz val="11"/>
        <rFont val="Times New Roman"/>
        <charset val="134"/>
      </rPr>
      <t>RCO16MHz</t>
    </r>
    <r>
      <rPr>
        <sz val="11"/>
        <rFont val="宋体"/>
        <charset val="134"/>
      </rPr>
      <t>；1：外部晶振</t>
    </r>
  </si>
  <si>
    <t>RW_PLL_REF_DIV</t>
  </si>
  <si>
    <r>
      <rPr>
        <sz val="11"/>
        <rFont val="宋体"/>
        <charset val="134"/>
      </rPr>
      <t>控制</t>
    </r>
    <r>
      <rPr>
        <sz val="11"/>
        <rFont val="Times New Roman"/>
        <charset val="134"/>
      </rPr>
      <t>PLL</t>
    </r>
    <r>
      <rPr>
        <sz val="11"/>
        <rFont val="宋体"/>
        <charset val="134"/>
      </rPr>
      <t>参考时钟源二分频使能：
0：分频到8</t>
    </r>
    <r>
      <rPr>
        <sz val="11"/>
        <rFont val="Times New Roman"/>
        <charset val="134"/>
      </rPr>
      <t>MHz</t>
    </r>
    <r>
      <rPr>
        <sz val="11"/>
        <rFont val="宋体"/>
        <charset val="134"/>
      </rPr>
      <t>；1：不分频</t>
    </r>
  </si>
  <si>
    <t>RW_PLL_NDIV&lt;3:0&gt;</t>
  </si>
  <si>
    <t>0100</t>
  </si>
  <si>
    <r>
      <rPr>
        <sz val="11"/>
        <rFont val="宋体"/>
        <charset val="134"/>
      </rPr>
      <t>配置</t>
    </r>
    <r>
      <rPr>
        <sz val="11"/>
        <rFont val="Times New Roman"/>
        <charset val="134"/>
      </rPr>
      <t>PLL</t>
    </r>
    <r>
      <rPr>
        <sz val="11"/>
        <rFont val="宋体"/>
        <charset val="134"/>
      </rPr>
      <t xml:space="preserve">的倍频倍数：
0000：5
0100：9
1000：13
1111：20
</t>
    </r>
    <r>
      <rPr>
        <sz val="11"/>
        <rFont val="Times New Roman"/>
        <charset val="134"/>
      </rPr>
      <t>step</t>
    </r>
    <r>
      <rPr>
        <sz val="11"/>
        <rFont val="宋体"/>
        <charset val="134"/>
      </rPr>
      <t>：1</t>
    </r>
  </si>
  <si>
    <t>RW_PLL_ICP&lt;4:0&gt;</t>
  </si>
  <si>
    <t>01100</t>
  </si>
  <si>
    <r>
      <rPr>
        <sz val="11"/>
        <rFont val="宋体"/>
        <charset val="134"/>
      </rPr>
      <t>配置</t>
    </r>
    <r>
      <rPr>
        <sz val="11"/>
        <rFont val="Times New Roman"/>
        <charset val="134"/>
      </rPr>
      <t>PLL</t>
    </r>
    <r>
      <rPr>
        <sz val="11"/>
        <rFont val="宋体"/>
        <charset val="134"/>
      </rPr>
      <t>的电荷泵增益：
00000:8</t>
    </r>
    <r>
      <rPr>
        <sz val="11"/>
        <rFont val="Times New Roman"/>
        <charset val="134"/>
      </rPr>
      <t>uA
01100:32uA
10000:40uA
11111:70uA
step</t>
    </r>
    <r>
      <rPr>
        <sz val="11"/>
        <rFont val="宋体"/>
        <charset val="134"/>
      </rPr>
      <t>：2</t>
    </r>
    <r>
      <rPr>
        <sz val="11"/>
        <rFont val="Times New Roman"/>
        <charset val="134"/>
      </rPr>
      <t>uA</t>
    </r>
    <r>
      <rPr>
        <sz val="11"/>
        <rFont val="宋体"/>
        <charset val="134"/>
      </rPr>
      <t xml:space="preserve">
</t>
    </r>
  </si>
  <si>
    <t>RW_PLL_VCO&lt;2:0&gt;</t>
  </si>
  <si>
    <t>111</t>
  </si>
  <si>
    <r>
      <rPr>
        <sz val="11"/>
        <rFont val="宋体"/>
        <charset val="134"/>
      </rPr>
      <t>配置</t>
    </r>
    <r>
      <rPr>
        <sz val="11"/>
        <rFont val="Times New Roman"/>
        <charset val="134"/>
      </rPr>
      <t>PLL</t>
    </r>
    <r>
      <rPr>
        <sz val="11"/>
        <rFont val="宋体"/>
        <charset val="134"/>
      </rPr>
      <t>的</t>
    </r>
    <r>
      <rPr>
        <sz val="11"/>
        <rFont val="Times New Roman"/>
        <charset val="134"/>
      </rPr>
      <t>VCO</t>
    </r>
    <r>
      <rPr>
        <sz val="11"/>
        <rFont val="宋体"/>
        <charset val="134"/>
      </rPr>
      <t>增益系数，在</t>
    </r>
    <r>
      <rPr>
        <sz val="11"/>
        <rFont val="Times New Roman"/>
        <charset val="134"/>
      </rPr>
      <t>VC=850mV</t>
    </r>
    <r>
      <rPr>
        <sz val="11"/>
        <rFont val="宋体"/>
        <charset val="134"/>
      </rPr>
      <t xml:space="preserve">时：
</t>
    </r>
    <r>
      <rPr>
        <sz val="11"/>
        <rFont val="Times New Roman"/>
        <charset val="134"/>
      </rPr>
      <t xml:space="preserve">000:78.78MHz/V
001:76.80MHz/V
010:74.98MHz/V
011:73.30MHz/V
100:71.70MHz/V
101:70.26MHz/V
110:68.84MHz/V
111:67.55MHz/V
</t>
    </r>
  </si>
  <si>
    <t>RW_PLL_CKO_DIV&lt;1:0&gt;</t>
  </si>
  <si>
    <t>11</t>
  </si>
  <si>
    <r>
      <rPr>
        <sz val="11"/>
        <rFont val="宋体"/>
        <charset val="134"/>
      </rPr>
      <t>配置</t>
    </r>
    <r>
      <rPr>
        <sz val="11"/>
        <rFont val="Times New Roman"/>
        <charset val="134"/>
      </rPr>
      <t>PLL</t>
    </r>
    <r>
      <rPr>
        <sz val="11"/>
        <rFont val="宋体"/>
        <charset val="134"/>
      </rPr>
      <t>的输出时钟分频比：
00:1/8
01:1/4
10:1/2
11:1</t>
    </r>
  </si>
  <si>
    <t>RW_PLL_CKO_TP_EN</t>
  </si>
  <si>
    <r>
      <rPr>
        <sz val="11"/>
        <rFont val="宋体"/>
        <charset val="134"/>
      </rPr>
      <t>控制</t>
    </r>
    <r>
      <rPr>
        <sz val="11"/>
        <rFont val="Times New Roman"/>
        <charset val="134"/>
      </rPr>
      <t>PLL</t>
    </r>
    <r>
      <rPr>
        <sz val="11"/>
        <rFont val="宋体"/>
        <charset val="134"/>
      </rPr>
      <t>测试信号释放使能：
0：不释放；1：释放</t>
    </r>
  </si>
  <si>
    <t>RW_PLL_CKO_TP_SEL</t>
  </si>
  <si>
    <r>
      <rPr>
        <sz val="11"/>
        <rFont val="宋体"/>
        <charset val="134"/>
      </rPr>
      <t>选择</t>
    </r>
    <r>
      <rPr>
        <sz val="11"/>
        <rFont val="Times New Roman"/>
        <charset val="134"/>
      </rPr>
      <t>PLL</t>
    </r>
    <r>
      <rPr>
        <sz val="11"/>
        <rFont val="宋体"/>
        <charset val="134"/>
      </rPr>
      <t>测试信号：
0：</t>
    </r>
    <r>
      <rPr>
        <sz val="11"/>
        <rFont val="Times New Roman"/>
        <charset val="134"/>
      </rPr>
      <t>VCO</t>
    </r>
    <r>
      <rPr>
        <sz val="11"/>
        <rFont val="宋体"/>
        <charset val="134"/>
      </rPr>
      <t>输出信号</t>
    </r>
    <r>
      <rPr>
        <sz val="11"/>
        <rFont val="Times New Roman"/>
        <charset val="134"/>
      </rPr>
      <t>/64</t>
    </r>
    <r>
      <rPr>
        <sz val="11"/>
        <rFont val="宋体"/>
        <charset val="134"/>
      </rPr>
      <t>；1：分频器输出信号</t>
    </r>
    <r>
      <rPr>
        <sz val="11"/>
        <rFont val="Times New Roman"/>
        <charset val="134"/>
      </rPr>
      <t>/16</t>
    </r>
  </si>
  <si>
    <t>RW_PLL_VC_TP_EN</t>
  </si>
  <si>
    <r>
      <rPr>
        <sz val="11"/>
        <rFont val="宋体"/>
        <charset val="134"/>
      </rPr>
      <t>控制</t>
    </r>
    <r>
      <rPr>
        <sz val="11"/>
        <rFont val="Times New Roman"/>
        <charset val="134"/>
      </rPr>
      <t>PLL</t>
    </r>
    <r>
      <rPr>
        <sz val="11"/>
        <rFont val="宋体"/>
        <charset val="134"/>
      </rPr>
      <t>进入测试模式使能：
0：正常模式；1：测试模式，环路断开</t>
    </r>
  </si>
  <si>
    <t>RW_PLL_ERR_NG_EN</t>
  </si>
  <si>
    <r>
      <rPr>
        <sz val="11"/>
        <rFont val="宋体"/>
        <charset val="134"/>
      </rPr>
      <t>控制</t>
    </r>
    <r>
      <rPr>
        <sz val="11"/>
        <rFont val="Times New Roman"/>
        <charset val="134"/>
      </rPr>
      <t>PLL error</t>
    </r>
    <r>
      <rPr>
        <sz val="11"/>
        <rFont val="宋体"/>
        <charset val="134"/>
      </rPr>
      <t>指示信号消抖使能：</t>
    </r>
    <r>
      <rPr>
        <sz val="11"/>
        <rFont val="Times New Roman"/>
        <charset val="134"/>
      </rPr>
      <t xml:space="preserve">
0</t>
    </r>
    <r>
      <rPr>
        <sz val="11"/>
        <rFont val="宋体"/>
        <charset val="134"/>
      </rPr>
      <t>：不消抖；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：消抖</t>
    </r>
  </si>
  <si>
    <t>RW_PLL_ERR_NG&lt;1:0&gt;</t>
  </si>
  <si>
    <r>
      <rPr>
        <sz val="11"/>
        <rFont val="宋体"/>
        <charset val="134"/>
      </rPr>
      <t>配置</t>
    </r>
    <r>
      <rPr>
        <sz val="11"/>
        <rFont val="Times New Roman"/>
        <charset val="134"/>
      </rPr>
      <t>PLL error</t>
    </r>
    <r>
      <rPr>
        <sz val="11"/>
        <rFont val="宋体"/>
        <charset val="134"/>
      </rPr>
      <t>指示信号消抖时长：</t>
    </r>
    <r>
      <rPr>
        <sz val="11"/>
        <rFont val="Times New Roman"/>
        <charset val="134"/>
      </rPr>
      <t xml:space="preserve">
00:8us
01:16us
10:32us
11:64us</t>
    </r>
  </si>
  <si>
    <t>RW_PLL_ERR_LAT_CLR</t>
  </si>
  <si>
    <r>
      <rPr>
        <sz val="11"/>
        <rFont val="宋体"/>
        <charset val="134"/>
      </rPr>
      <t>控制</t>
    </r>
    <r>
      <rPr>
        <sz val="11"/>
        <rFont val="Times New Roman"/>
        <charset val="134"/>
      </rPr>
      <t>PLL error</t>
    </r>
    <r>
      <rPr>
        <sz val="11"/>
        <rFont val="宋体"/>
        <charset val="134"/>
      </rPr>
      <t>锁存信号清零使能：</t>
    </r>
    <r>
      <rPr>
        <sz val="11"/>
        <rFont val="Times New Roman"/>
        <charset val="134"/>
      </rPr>
      <t xml:space="preserve">
0</t>
    </r>
    <r>
      <rPr>
        <sz val="11"/>
        <rFont val="宋体"/>
        <charset val="134"/>
      </rPr>
      <t>：清零；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：保持</t>
    </r>
  </si>
  <si>
    <t>RW_PLL_ERR_LAT_POL</t>
  </si>
  <si>
    <r>
      <rPr>
        <sz val="11"/>
        <rFont val="宋体"/>
        <charset val="134"/>
      </rPr>
      <t>配置</t>
    </r>
    <r>
      <rPr>
        <sz val="11"/>
        <rFont val="Times New Roman"/>
        <charset val="134"/>
      </rPr>
      <t>PLL error</t>
    </r>
    <r>
      <rPr>
        <sz val="11"/>
        <rFont val="宋体"/>
        <charset val="134"/>
      </rPr>
      <t>锁存信号触发边沿：</t>
    </r>
    <r>
      <rPr>
        <sz val="11"/>
        <rFont val="Times New Roman"/>
        <charset val="134"/>
      </rPr>
      <t xml:space="preserve">
0</t>
    </r>
    <r>
      <rPr>
        <sz val="11"/>
        <rFont val="宋体"/>
        <charset val="134"/>
      </rPr>
      <t>：上升沿触发；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：下降沿触发</t>
    </r>
  </si>
  <si>
    <t>RW_HXT_XI_OFF</t>
  </si>
  <si>
    <t>控制HXT XO端口使能：
0：关断；1：打开</t>
  </si>
  <si>
    <t>RW_HXT_XO_OFF</t>
  </si>
  <si>
    <r>
      <rPr>
        <sz val="11"/>
        <rFont val="宋体"/>
        <charset val="134"/>
      </rPr>
      <t>配置</t>
    </r>
    <r>
      <rPr>
        <sz val="11"/>
        <rFont val="Times New Roman"/>
        <charset val="134"/>
      </rPr>
      <t xml:space="preserve">HXT </t>
    </r>
    <r>
      <rPr>
        <sz val="11"/>
        <rFont val="宋体"/>
        <charset val="134"/>
      </rPr>
      <t>驱动能力大小，00最小，11最大</t>
    </r>
  </si>
  <si>
    <t>RW_HXT_DS&lt;1:0&gt;</t>
  </si>
  <si>
    <r>
      <rPr>
        <sz val="11"/>
        <rFont val="Times New Roman"/>
        <charset val="134"/>
      </rPr>
      <t>LSI</t>
    </r>
    <r>
      <rPr>
        <sz val="11"/>
        <rFont val="宋体"/>
        <charset val="134"/>
      </rPr>
      <t>模块电流调节寄存器，1：800nA； 0：500</t>
    </r>
    <r>
      <rPr>
        <sz val="11"/>
        <rFont val="Times New Roman"/>
        <charset val="134"/>
      </rPr>
      <t xml:space="preserve">nA; </t>
    </r>
    <r>
      <rPr>
        <sz val="11"/>
        <rFont val="宋体"/>
        <charset val="134"/>
      </rPr>
      <t>用于尝试减小LSI的工作电流。</t>
    </r>
  </si>
  <si>
    <t>RW_LSI_IBIAS</t>
  </si>
  <si>
    <r>
      <rPr>
        <sz val="11"/>
        <color rgb="FF000000"/>
        <rFont val="Times New Roman"/>
        <charset val="134"/>
      </rPr>
      <t>LSI</t>
    </r>
    <r>
      <rPr>
        <sz val="11"/>
        <color rgb="FF000000"/>
        <rFont val="宋体"/>
        <charset val="134"/>
      </rPr>
      <t>模块电流调节寄存器，1：800nA； 0：500</t>
    </r>
    <r>
      <rPr>
        <sz val="11"/>
        <color rgb="FF000000"/>
        <rFont val="Times New Roman"/>
        <charset val="134"/>
      </rPr>
      <t xml:space="preserve">nA; </t>
    </r>
    <r>
      <rPr>
        <sz val="11"/>
        <color rgb="FF000000"/>
        <rFont val="宋体"/>
        <charset val="134"/>
      </rPr>
      <t>用于尝试减小LSI的工作电流。</t>
    </r>
  </si>
  <si>
    <t>CSA1----- 0x40007C10</t>
  </si>
  <si>
    <r>
      <rPr>
        <b/>
        <sz val="11"/>
        <color rgb="FF000000"/>
        <rFont val="Times New Roman"/>
        <charset val="134"/>
      </rPr>
      <t xml:space="preserve">CSA </t>
    </r>
    <r>
      <rPr>
        <b/>
        <sz val="11"/>
        <color rgb="FF000000"/>
        <rFont val="宋体"/>
        <charset val="134"/>
      </rPr>
      <t>电流检测寄存器(1)</t>
    </r>
  </si>
  <si>
    <t>RW_CSA_AMP_EN</t>
  </si>
  <si>
    <r>
      <rPr>
        <sz val="11"/>
        <rFont val="宋体"/>
        <charset val="134"/>
      </rPr>
      <t>控制</t>
    </r>
    <r>
      <rPr>
        <sz val="11"/>
        <rFont val="Times New Roman"/>
        <charset val="134"/>
      </rPr>
      <t>CSA</t>
    </r>
    <r>
      <rPr>
        <sz val="11"/>
        <rFont val="宋体"/>
        <charset val="134"/>
      </rPr>
      <t>运放使能：
0：不使能；1：使能</t>
    </r>
  </si>
  <si>
    <t>RW_CSA_CSP&lt;1:0&gt;</t>
  </si>
  <si>
    <r>
      <rPr>
        <sz val="11"/>
        <rFont val="宋体"/>
        <charset val="134"/>
      </rPr>
      <t>选择同相采样点通道：
00：</t>
    </r>
    <r>
      <rPr>
        <sz val="11"/>
        <rFont val="Times New Roman"/>
        <charset val="134"/>
      </rPr>
      <t>GPIO7</t>
    </r>
    <r>
      <rPr>
        <sz val="11"/>
        <rFont val="宋体"/>
        <charset val="134"/>
      </rPr>
      <t xml:space="preserve">
01：</t>
    </r>
    <r>
      <rPr>
        <sz val="11"/>
        <rFont val="Times New Roman"/>
        <charset val="134"/>
      </rPr>
      <t>GPIO9</t>
    </r>
    <r>
      <rPr>
        <sz val="11"/>
        <rFont val="宋体"/>
        <charset val="134"/>
      </rPr>
      <t xml:space="preserve">
10：</t>
    </r>
    <r>
      <rPr>
        <sz val="11"/>
        <rFont val="Times New Roman"/>
        <charset val="134"/>
      </rPr>
      <t>GPIO11</t>
    </r>
    <r>
      <rPr>
        <sz val="11"/>
        <rFont val="宋体"/>
        <charset val="134"/>
      </rPr>
      <t xml:space="preserve">
11：</t>
    </r>
    <r>
      <rPr>
        <sz val="11"/>
        <rFont val="Times New Roman"/>
        <charset val="134"/>
      </rPr>
      <t>GND</t>
    </r>
  </si>
  <si>
    <t>RW_CSA_CSN&lt;1:0&gt;</t>
  </si>
  <si>
    <r>
      <rPr>
        <sz val="11"/>
        <rFont val="宋体"/>
        <charset val="134"/>
      </rPr>
      <t>选择反相采样点通道：
00：</t>
    </r>
    <r>
      <rPr>
        <sz val="11"/>
        <rFont val="Times New Roman"/>
        <charset val="134"/>
      </rPr>
      <t>GPIO8
01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GPIO10
10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GPIO12
11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GND</t>
    </r>
  </si>
  <si>
    <t>RW_CSA_GAIN&lt;2:0&gt;</t>
  </si>
  <si>
    <t>000</t>
  </si>
  <si>
    <r>
      <rPr>
        <sz val="11"/>
        <rFont val="宋体"/>
        <charset val="134"/>
      </rPr>
      <t>配置</t>
    </r>
    <r>
      <rPr>
        <sz val="11"/>
        <rFont val="Times New Roman"/>
        <charset val="134"/>
      </rPr>
      <t>CSA</t>
    </r>
    <r>
      <rPr>
        <sz val="11"/>
        <rFont val="宋体"/>
        <charset val="134"/>
      </rPr>
      <t xml:space="preserve">增益：
000:1
001：2
010:4
011:8
100:12
101:16
110:32
111:64
</t>
    </r>
  </si>
  <si>
    <t>RW_CSA_REF&lt;4:0&gt;</t>
  </si>
  <si>
    <t>11111</t>
  </si>
  <si>
    <r>
      <rPr>
        <sz val="11"/>
        <color rgb="FFFF0000"/>
        <rFont val="宋体"/>
        <charset val="134"/>
      </rPr>
      <t>配置</t>
    </r>
    <r>
      <rPr>
        <sz val="11"/>
        <color rgb="FFFF0000"/>
        <rFont val="Times New Roman"/>
        <charset val="134"/>
      </rPr>
      <t>CSA</t>
    </r>
    <r>
      <rPr>
        <sz val="11"/>
        <color rgb="FFFF0000"/>
        <rFont val="宋体"/>
        <charset val="134"/>
      </rPr>
      <t>偏置电压：
00000：1.5/8</t>
    </r>
    <r>
      <rPr>
        <sz val="11"/>
        <color rgb="FFFF0000"/>
        <rFont val="Times New Roman"/>
        <charset val="134"/>
      </rPr>
      <t>V
00001</t>
    </r>
    <r>
      <rPr>
        <sz val="11"/>
        <color rgb="FFFF0000"/>
        <rFont val="宋体"/>
        <charset val="134"/>
      </rPr>
      <t>：1.5/6</t>
    </r>
    <r>
      <rPr>
        <sz val="11"/>
        <color rgb="FFFF0000"/>
        <rFont val="Times New Roman"/>
        <charset val="134"/>
      </rPr>
      <t>V
00010</t>
    </r>
    <r>
      <rPr>
        <sz val="11"/>
        <color rgb="FFFF0000"/>
        <rFont val="宋体"/>
        <charset val="134"/>
      </rPr>
      <t>：1.5/4</t>
    </r>
    <r>
      <rPr>
        <sz val="11"/>
        <color rgb="FFFF0000"/>
        <rFont val="Times New Roman"/>
        <charset val="134"/>
      </rPr>
      <t>V
00011</t>
    </r>
    <r>
      <rPr>
        <sz val="11"/>
        <color rgb="FFFF0000"/>
        <rFont val="宋体"/>
        <charset val="134"/>
      </rPr>
      <t>：1.5/2</t>
    </r>
    <r>
      <rPr>
        <sz val="11"/>
        <color rgb="FFFF0000"/>
        <rFont val="Times New Roman"/>
        <charset val="134"/>
      </rPr>
      <t>V
00100</t>
    </r>
    <r>
      <rPr>
        <sz val="11"/>
        <color rgb="FFFF0000"/>
        <rFont val="宋体"/>
        <charset val="134"/>
      </rPr>
      <t>：2/8</t>
    </r>
    <r>
      <rPr>
        <sz val="11"/>
        <color rgb="FFFF0000"/>
        <rFont val="Times New Roman"/>
        <charset val="134"/>
      </rPr>
      <t>V
00101</t>
    </r>
    <r>
      <rPr>
        <sz val="11"/>
        <color rgb="FFFF0000"/>
        <rFont val="宋体"/>
        <charset val="134"/>
      </rPr>
      <t>：</t>
    </r>
    <r>
      <rPr>
        <sz val="11"/>
        <color rgb="FFFF0000"/>
        <rFont val="Times New Roman"/>
        <charset val="134"/>
      </rPr>
      <t>2/6V
00110</t>
    </r>
    <r>
      <rPr>
        <sz val="11"/>
        <color rgb="FFFF0000"/>
        <rFont val="宋体"/>
        <charset val="134"/>
      </rPr>
      <t>：</t>
    </r>
    <r>
      <rPr>
        <sz val="11"/>
        <color rgb="FFFF0000"/>
        <rFont val="Times New Roman"/>
        <charset val="134"/>
      </rPr>
      <t>2/4V
00111</t>
    </r>
    <r>
      <rPr>
        <sz val="11"/>
        <color rgb="FFFF0000"/>
        <rFont val="宋体"/>
        <charset val="134"/>
      </rPr>
      <t>：</t>
    </r>
    <r>
      <rPr>
        <sz val="11"/>
        <color rgb="FFFF0000"/>
        <rFont val="Times New Roman"/>
        <charset val="134"/>
      </rPr>
      <t>2/2V
01000</t>
    </r>
    <r>
      <rPr>
        <sz val="11"/>
        <color rgb="FFFF0000"/>
        <rFont val="宋体"/>
        <charset val="134"/>
      </rPr>
      <t>：</t>
    </r>
    <r>
      <rPr>
        <sz val="11"/>
        <color rgb="FFFF0000"/>
        <rFont val="Times New Roman"/>
        <charset val="134"/>
      </rPr>
      <t>2.5/8V
01001</t>
    </r>
    <r>
      <rPr>
        <sz val="11"/>
        <color rgb="FFFF0000"/>
        <rFont val="宋体"/>
        <charset val="134"/>
      </rPr>
      <t>：</t>
    </r>
    <r>
      <rPr>
        <sz val="11"/>
        <color rgb="FFFF0000"/>
        <rFont val="Times New Roman"/>
        <charset val="134"/>
      </rPr>
      <t>2.5/6V
01010</t>
    </r>
    <r>
      <rPr>
        <sz val="11"/>
        <color rgb="FFFF0000"/>
        <rFont val="宋体"/>
        <charset val="134"/>
      </rPr>
      <t>：</t>
    </r>
    <r>
      <rPr>
        <sz val="11"/>
        <color rgb="FFFF0000"/>
        <rFont val="Times New Roman"/>
        <charset val="134"/>
      </rPr>
      <t>2.5/4V
01011</t>
    </r>
    <r>
      <rPr>
        <sz val="11"/>
        <color rgb="FFFF0000"/>
        <rFont val="宋体"/>
        <charset val="134"/>
      </rPr>
      <t>：</t>
    </r>
    <r>
      <rPr>
        <sz val="11"/>
        <color rgb="FFFF0000"/>
        <rFont val="Times New Roman"/>
        <charset val="134"/>
      </rPr>
      <t>2.5/2V
01100</t>
    </r>
    <r>
      <rPr>
        <sz val="11"/>
        <color rgb="FFFF0000"/>
        <rFont val="宋体"/>
        <charset val="134"/>
      </rPr>
      <t>：3/8</t>
    </r>
    <r>
      <rPr>
        <sz val="11"/>
        <color rgb="FFFF0000"/>
        <rFont val="Times New Roman"/>
        <charset val="134"/>
      </rPr>
      <t>V
01101</t>
    </r>
    <r>
      <rPr>
        <sz val="11"/>
        <color rgb="FFFF0000"/>
        <rFont val="宋体"/>
        <charset val="134"/>
      </rPr>
      <t>：</t>
    </r>
    <r>
      <rPr>
        <sz val="11"/>
        <color rgb="FFFF0000"/>
        <rFont val="Times New Roman"/>
        <charset val="134"/>
      </rPr>
      <t>3/6V
01110</t>
    </r>
    <r>
      <rPr>
        <sz val="11"/>
        <color rgb="FFFF0000"/>
        <rFont val="宋体"/>
        <charset val="134"/>
      </rPr>
      <t>：</t>
    </r>
    <r>
      <rPr>
        <sz val="11"/>
        <color rgb="FFFF0000"/>
        <rFont val="Times New Roman"/>
        <charset val="134"/>
      </rPr>
      <t>3/4V
01111</t>
    </r>
    <r>
      <rPr>
        <sz val="11"/>
        <color rgb="FFFF0000"/>
        <rFont val="宋体"/>
        <charset val="134"/>
      </rPr>
      <t>：</t>
    </r>
    <r>
      <rPr>
        <sz val="11"/>
        <color rgb="FFFF0000"/>
        <rFont val="Times New Roman"/>
        <charset val="134"/>
      </rPr>
      <t>3/2V
1xx00</t>
    </r>
    <r>
      <rPr>
        <sz val="11"/>
        <color rgb="FFFF0000"/>
        <rFont val="宋体"/>
        <charset val="134"/>
      </rPr>
      <t>：</t>
    </r>
    <r>
      <rPr>
        <sz val="11"/>
        <color rgb="FFFF0000"/>
        <rFont val="Times New Roman"/>
        <charset val="134"/>
      </rPr>
      <t>vdd33/8V
1xx01</t>
    </r>
    <r>
      <rPr>
        <sz val="11"/>
        <color rgb="FFFF0000"/>
        <rFont val="宋体"/>
        <charset val="134"/>
      </rPr>
      <t>：</t>
    </r>
    <r>
      <rPr>
        <sz val="11"/>
        <color rgb="FFFF0000"/>
        <rFont val="Times New Roman"/>
        <charset val="134"/>
      </rPr>
      <t>vdd33/6V
1xx10</t>
    </r>
    <r>
      <rPr>
        <sz val="11"/>
        <color rgb="FFFF0000"/>
        <rFont val="宋体"/>
        <charset val="134"/>
      </rPr>
      <t>：</t>
    </r>
    <r>
      <rPr>
        <sz val="11"/>
        <color rgb="FFFF0000"/>
        <rFont val="Times New Roman"/>
        <charset val="134"/>
      </rPr>
      <t>vdd33/4V
1xx11</t>
    </r>
    <r>
      <rPr>
        <sz val="11"/>
        <color rgb="FFFF0000"/>
        <rFont val="宋体"/>
        <charset val="134"/>
      </rPr>
      <t>：</t>
    </r>
    <r>
      <rPr>
        <sz val="11"/>
        <color rgb="FFFF0000"/>
        <rFont val="Times New Roman"/>
        <charset val="134"/>
      </rPr>
      <t>vdd33/2V</t>
    </r>
  </si>
  <si>
    <t>RW_CSA_CAL_EN</t>
  </si>
  <si>
    <r>
      <rPr>
        <sz val="11"/>
        <rFont val="宋体"/>
        <charset val="134"/>
      </rPr>
      <t>控制</t>
    </r>
    <r>
      <rPr>
        <sz val="11"/>
        <rFont val="Times New Roman"/>
        <charset val="134"/>
      </rPr>
      <t>CSA</t>
    </r>
    <r>
      <rPr>
        <sz val="11"/>
        <rFont val="宋体"/>
        <charset val="134"/>
      </rPr>
      <t>进入失调校准模式使能
0：正常模式；1：失调校准模式</t>
    </r>
  </si>
  <si>
    <t>RW_CSA_DAC_EN</t>
  </si>
  <si>
    <r>
      <rPr>
        <sz val="11"/>
        <rFont val="宋体"/>
        <charset val="134"/>
      </rPr>
      <t>控制</t>
    </r>
    <r>
      <rPr>
        <sz val="11"/>
        <rFont val="Times New Roman"/>
        <charset val="134"/>
      </rPr>
      <t>DAC</t>
    </r>
    <r>
      <rPr>
        <sz val="11"/>
        <rFont val="宋体"/>
        <charset val="134"/>
      </rPr>
      <t>使能：
0：不使能；1：使能</t>
    </r>
  </si>
  <si>
    <t>RW_CSA_DAC_OUT&lt;7:0&gt;</t>
  </si>
  <si>
    <t>00000000</t>
  </si>
  <si>
    <r>
      <rPr>
        <sz val="11"/>
        <rFont val="Times New Roman"/>
        <charset val="134"/>
      </rPr>
      <t>DAC</t>
    </r>
    <r>
      <rPr>
        <sz val="11"/>
        <rFont val="宋体"/>
        <charset val="134"/>
      </rPr>
      <t>输入信号</t>
    </r>
  </si>
  <si>
    <t>RW_CSA_DAC_REF&lt;2:0&gt;</t>
  </si>
  <si>
    <r>
      <rPr>
        <sz val="11"/>
        <rFont val="宋体"/>
        <charset val="134"/>
      </rPr>
      <t>配置</t>
    </r>
    <r>
      <rPr>
        <sz val="11"/>
        <rFont val="Times New Roman"/>
        <charset val="134"/>
      </rPr>
      <t>DAC</t>
    </r>
    <r>
      <rPr>
        <sz val="11"/>
        <rFont val="宋体"/>
        <charset val="134"/>
      </rPr>
      <t>量程：
000：1.2</t>
    </r>
    <r>
      <rPr>
        <sz val="11"/>
        <rFont val="Times New Roman"/>
        <charset val="134"/>
      </rPr>
      <t>V
001</t>
    </r>
    <r>
      <rPr>
        <sz val="11"/>
        <rFont val="宋体"/>
        <charset val="134"/>
      </rPr>
      <t>：1.5</t>
    </r>
    <r>
      <rPr>
        <sz val="11"/>
        <rFont val="Times New Roman"/>
        <charset val="134"/>
      </rPr>
      <t>V
010</t>
    </r>
    <r>
      <rPr>
        <sz val="11"/>
        <rFont val="宋体"/>
        <charset val="134"/>
      </rPr>
      <t>：2</t>
    </r>
    <r>
      <rPr>
        <sz val="11"/>
        <rFont val="Times New Roman"/>
        <charset val="134"/>
      </rPr>
      <t>V
011</t>
    </r>
    <r>
      <rPr>
        <sz val="11"/>
        <rFont val="宋体"/>
        <charset val="134"/>
      </rPr>
      <t>：2.5</t>
    </r>
    <r>
      <rPr>
        <sz val="11"/>
        <rFont val="Times New Roman"/>
        <charset val="134"/>
      </rPr>
      <t>V
100</t>
    </r>
    <r>
      <rPr>
        <sz val="11"/>
        <rFont val="宋体"/>
        <charset val="134"/>
      </rPr>
      <t>：3</t>
    </r>
    <r>
      <rPr>
        <sz val="11"/>
        <rFont val="Times New Roman"/>
        <charset val="134"/>
      </rPr>
      <t>V
101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vdd33
110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vdd33
111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vdd33</t>
    </r>
    <r>
      <rPr>
        <sz val="11"/>
        <rFont val="宋体"/>
        <charset val="134"/>
      </rPr>
      <t xml:space="preserve">
</t>
    </r>
  </si>
  <si>
    <t>RW_CSA1_RSV&lt;3:0&gt;</t>
  </si>
  <si>
    <t>0000</t>
  </si>
  <si>
    <t>CSA2----- 0x40007C14</t>
  </si>
  <si>
    <r>
      <rPr>
        <b/>
        <sz val="11"/>
        <color rgb="FF000000"/>
        <rFont val="Times New Roman"/>
        <charset val="134"/>
      </rPr>
      <t xml:space="preserve">CSA </t>
    </r>
    <r>
      <rPr>
        <b/>
        <sz val="11"/>
        <color rgb="FF000000"/>
        <rFont val="宋体"/>
        <charset val="134"/>
      </rPr>
      <t>电流检测寄存器(2)</t>
    </r>
  </si>
  <si>
    <t>RW_CSA_OC_EN</t>
  </si>
  <si>
    <r>
      <rPr>
        <sz val="11"/>
        <rFont val="宋体"/>
        <charset val="134"/>
      </rPr>
      <t>控制</t>
    </r>
    <r>
      <rPr>
        <sz val="11"/>
        <rFont val="Times New Roman"/>
        <charset val="134"/>
      </rPr>
      <t>CSA</t>
    </r>
    <r>
      <rPr>
        <sz val="11"/>
        <rFont val="宋体"/>
        <charset val="134"/>
      </rPr>
      <t xml:space="preserve"> </t>
    </r>
    <r>
      <rPr>
        <sz val="11"/>
        <rFont val="Times New Roman"/>
        <charset val="134"/>
      </rPr>
      <t>OC</t>
    </r>
    <r>
      <rPr>
        <sz val="11"/>
        <rFont val="宋体"/>
        <charset val="134"/>
      </rPr>
      <t>检测使能：
0：不使能；1：使能</t>
    </r>
  </si>
  <si>
    <t>RW_CSA_OC_HYS&lt;2:0&gt;</t>
  </si>
  <si>
    <r>
      <rPr>
        <sz val="11"/>
        <rFont val="宋体"/>
        <charset val="134"/>
      </rPr>
      <t>配置</t>
    </r>
    <r>
      <rPr>
        <sz val="11"/>
        <rFont val="Times New Roman"/>
        <charset val="134"/>
      </rPr>
      <t>OC</t>
    </r>
    <r>
      <rPr>
        <sz val="11"/>
        <rFont val="宋体"/>
        <charset val="134"/>
      </rPr>
      <t xml:space="preserve">检测迟滞：
</t>
    </r>
    <r>
      <rPr>
        <sz val="11"/>
        <rFont val="Times New Roman"/>
        <charset val="134"/>
      </rPr>
      <t>000:0
001:13mV
010:24mV
011:33mV
100:41mV
101:48mV
110:54mV
111:59mV</t>
    </r>
  </si>
  <si>
    <t>RW_CSA_OC_SEL&lt;2:0&gt;</t>
  </si>
  <si>
    <r>
      <rPr>
        <sz val="11"/>
        <rFont val="宋体"/>
        <charset val="134"/>
      </rPr>
      <t>选择</t>
    </r>
    <r>
      <rPr>
        <sz val="11"/>
        <rFont val="Times New Roman"/>
        <charset val="134"/>
      </rPr>
      <t>OC</t>
    </r>
    <r>
      <rPr>
        <sz val="11"/>
        <rFont val="宋体"/>
        <charset val="134"/>
      </rPr>
      <t>检测信号：
000：</t>
    </r>
    <r>
      <rPr>
        <sz val="11"/>
        <rFont val="Times New Roman"/>
        <charset val="134"/>
      </rPr>
      <t>csp0
001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csp1
010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csp2
011</t>
    </r>
    <r>
      <rPr>
        <sz val="11"/>
        <rFont val="宋体"/>
        <charset val="134"/>
      </rPr>
      <t>：(</t>
    </r>
    <r>
      <rPr>
        <sz val="11"/>
        <rFont val="Times New Roman"/>
        <charset val="134"/>
      </rPr>
      <t>csp1+csp2+csp3)/3
100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vsen
101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vlpf
110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io
111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null</t>
    </r>
  </si>
  <si>
    <t>RW_CSA_OC_NG_EN</t>
  </si>
  <si>
    <t>控制OC指示信号消抖使能：
0：不消抖；1：消抖</t>
  </si>
  <si>
    <t>RW_CSA_OC_NG&lt;1:0&gt;</t>
  </si>
  <si>
    <r>
      <rPr>
        <sz val="11"/>
        <rFont val="宋体"/>
        <charset val="134"/>
      </rPr>
      <t>配置</t>
    </r>
    <r>
      <rPr>
        <sz val="11"/>
        <rFont val="Times New Roman"/>
        <charset val="134"/>
      </rPr>
      <t>OC</t>
    </r>
    <r>
      <rPr>
        <sz val="11"/>
        <rFont val="宋体"/>
        <charset val="134"/>
      </rPr>
      <t>指示信号消抖时长：</t>
    </r>
    <r>
      <rPr>
        <sz val="11"/>
        <rFont val="Times New Roman"/>
        <charset val="134"/>
      </rPr>
      <t xml:space="preserve">
00:0.5us
01:1us
10:2us
11:4us</t>
    </r>
  </si>
  <si>
    <t>RW_CSA_OC_LAT_CLR</t>
  </si>
  <si>
    <r>
      <rPr>
        <sz val="11"/>
        <rFont val="宋体"/>
        <charset val="134"/>
      </rPr>
      <t>控制</t>
    </r>
    <r>
      <rPr>
        <sz val="11"/>
        <rFont val="Times New Roman"/>
        <charset val="134"/>
      </rPr>
      <t>OC</t>
    </r>
    <r>
      <rPr>
        <sz val="11"/>
        <rFont val="宋体"/>
        <charset val="134"/>
      </rPr>
      <t>锁存信号清零使能：
0：清零；1：保持</t>
    </r>
  </si>
  <si>
    <t>RW_CSA_OC_LAT_POL</t>
  </si>
  <si>
    <r>
      <rPr>
        <sz val="11"/>
        <rFont val="宋体"/>
        <charset val="134"/>
      </rPr>
      <t>配置</t>
    </r>
    <r>
      <rPr>
        <sz val="11"/>
        <rFont val="Times New Roman"/>
        <charset val="134"/>
      </rPr>
      <t>OC</t>
    </r>
    <r>
      <rPr>
        <sz val="11"/>
        <rFont val="宋体"/>
        <charset val="134"/>
      </rPr>
      <t>锁存信号触发边沿：
0：上升沿触发；1：下降沿触发</t>
    </r>
  </si>
  <si>
    <t>RW_CSA_LPF_GPIO</t>
  </si>
  <si>
    <r>
      <rPr>
        <sz val="11"/>
        <color rgb="FFFF0000"/>
        <rFont val="Times New Roman"/>
        <charset val="134"/>
      </rPr>
      <t>CSA</t>
    </r>
    <r>
      <rPr>
        <sz val="11"/>
        <color rgb="FFFF0000"/>
        <rFont val="宋体"/>
        <charset val="134"/>
      </rPr>
      <t xml:space="preserve"> </t>
    </r>
    <r>
      <rPr>
        <sz val="11"/>
        <color rgb="FFFF0000"/>
        <rFont val="Times New Roman"/>
        <charset val="134"/>
      </rPr>
      <t>LPF</t>
    </r>
    <r>
      <rPr>
        <sz val="11"/>
        <color rgb="FFFF0000"/>
        <rFont val="宋体"/>
        <charset val="134"/>
      </rPr>
      <t>外接滤波电容路径使能：
0：路径关闭，不外接电容；1：路径开启，外接电容</t>
    </r>
  </si>
  <si>
    <t>RW_CSA_LPF_SEL</t>
  </si>
  <si>
    <r>
      <rPr>
        <sz val="11"/>
        <color rgb="FFFF0000"/>
        <rFont val="Times New Roman"/>
        <charset val="134"/>
      </rPr>
      <t>CSA</t>
    </r>
    <r>
      <rPr>
        <sz val="11"/>
        <color rgb="FFFF0000"/>
        <rFont val="宋体"/>
        <charset val="134"/>
      </rPr>
      <t>输出片外滤波使能：
0：不使能，片上电容滤波；1：使能，片外电容滤波</t>
    </r>
  </si>
  <si>
    <t>RW_CSA_LPF&lt;1:0&gt;</t>
  </si>
  <si>
    <r>
      <rPr>
        <sz val="11"/>
        <color rgb="FFFF0000"/>
        <rFont val="宋体"/>
        <charset val="134"/>
      </rPr>
      <t>配置</t>
    </r>
    <r>
      <rPr>
        <sz val="11"/>
        <color rgb="FFFF0000"/>
        <rFont val="Times New Roman"/>
        <charset val="134"/>
      </rPr>
      <t>CSA</t>
    </r>
    <r>
      <rPr>
        <sz val="11"/>
        <color rgb="FFFF0000"/>
        <rFont val="宋体"/>
        <charset val="134"/>
      </rPr>
      <t>输出滤波截止频率：
00:200</t>
    </r>
    <r>
      <rPr>
        <sz val="11"/>
        <color rgb="FFFF0000"/>
        <rFont val="Times New Roman"/>
        <charset val="134"/>
      </rPr>
      <t xml:space="preserve">Hz
01:400Hz
10:600Hz
11:800Hz
</t>
    </r>
  </si>
  <si>
    <t>RW_CSA_ATP_MUX&lt;1:0&gt;</t>
  </si>
  <si>
    <r>
      <rPr>
        <sz val="11"/>
        <color rgb="FFFF0000"/>
        <rFont val="宋体"/>
        <charset val="134"/>
      </rPr>
      <t>选择</t>
    </r>
    <r>
      <rPr>
        <sz val="11"/>
        <color rgb="FFFF0000"/>
        <rFont val="Times New Roman"/>
        <charset val="134"/>
      </rPr>
      <t>CSA</t>
    </r>
    <r>
      <rPr>
        <sz val="11"/>
        <color rgb="FFFF0000"/>
        <rFont val="宋体"/>
        <charset val="134"/>
      </rPr>
      <t>输出到</t>
    </r>
    <r>
      <rPr>
        <sz val="11"/>
        <color rgb="FFFF0000"/>
        <rFont val="Times New Roman"/>
        <charset val="134"/>
      </rPr>
      <t>ATP</t>
    </r>
    <r>
      <rPr>
        <sz val="11"/>
        <color rgb="FFFF0000"/>
        <rFont val="宋体"/>
        <charset val="134"/>
      </rPr>
      <t>的待测信号：
00：</t>
    </r>
    <r>
      <rPr>
        <sz val="11"/>
        <color rgb="FFFF0000"/>
        <rFont val="Times New Roman"/>
        <charset val="134"/>
      </rPr>
      <t>vdet_dac
01</t>
    </r>
    <r>
      <rPr>
        <sz val="11"/>
        <color rgb="FFFF0000"/>
        <rFont val="宋体"/>
        <charset val="134"/>
      </rPr>
      <t>：</t>
    </r>
    <r>
      <rPr>
        <sz val="11"/>
        <color rgb="FFFF0000"/>
        <rFont val="Times New Roman"/>
        <charset val="134"/>
      </rPr>
      <t>vref_os
10</t>
    </r>
    <r>
      <rPr>
        <sz val="11"/>
        <color rgb="FFFF0000"/>
        <rFont val="宋体"/>
        <charset val="134"/>
      </rPr>
      <t>：</t>
    </r>
    <r>
      <rPr>
        <sz val="11"/>
        <color rgb="FFFF0000"/>
        <rFont val="Times New Roman"/>
        <charset val="134"/>
      </rPr>
      <t>vfb_os
11</t>
    </r>
    <r>
      <rPr>
        <sz val="11"/>
        <color rgb="FFFF0000"/>
        <rFont val="宋体"/>
        <charset val="134"/>
      </rPr>
      <t>：</t>
    </r>
    <r>
      <rPr>
        <sz val="11"/>
        <color rgb="FFFF0000"/>
        <rFont val="Times New Roman"/>
        <charset val="134"/>
      </rPr>
      <t>vsen</t>
    </r>
  </si>
  <si>
    <t>RW_CSA2_RSV&lt;3:0&gt;</t>
  </si>
  <si>
    <t>ADC----- 0x40007C18</t>
  </si>
  <si>
    <r>
      <rPr>
        <b/>
        <sz val="11"/>
        <color rgb="FF000000"/>
        <rFont val="Times New Roman"/>
        <charset val="134"/>
      </rPr>
      <t>ADC</t>
    </r>
    <r>
      <rPr>
        <b/>
        <sz val="11"/>
        <color rgb="FF000000"/>
        <rFont val="宋体"/>
        <charset val="134"/>
      </rPr>
      <t>相关</t>
    </r>
    <r>
      <rPr>
        <b/>
        <sz val="11"/>
        <color rgb="FF000000"/>
        <rFont val="Times New Roman"/>
        <charset val="134"/>
      </rPr>
      <t xml:space="preserve"> </t>
    </r>
    <r>
      <rPr>
        <b/>
        <sz val="11"/>
        <color rgb="FF000000"/>
        <rFont val="宋体"/>
        <charset val="134"/>
      </rPr>
      <t>接口寄存器。
部分由数字直接控制</t>
    </r>
    <r>
      <rPr>
        <b/>
        <sz val="11"/>
        <color rgb="FF000000"/>
        <rFont val="Times New Roman"/>
        <charset val="134"/>
      </rPr>
      <t xml:space="preserve">, </t>
    </r>
    <r>
      <rPr>
        <b/>
        <sz val="11"/>
        <color rgb="FF000000"/>
        <rFont val="宋体"/>
        <charset val="134"/>
      </rPr>
      <t>请保留手动配置的选项</t>
    </r>
    <r>
      <rPr>
        <b/>
        <sz val="11"/>
        <color rgb="FF000000"/>
        <rFont val="Times New Roman"/>
        <charset val="134"/>
      </rPr>
      <t>;</t>
    </r>
  </si>
  <si>
    <t>RW_ADC_START</t>
  </si>
  <si>
    <r>
      <rPr>
        <sz val="10"/>
        <color rgb="FF000000"/>
        <rFont val="Times New Roman"/>
        <charset val="134"/>
      </rPr>
      <t xml:space="preserve">ADC Start Sampling triggle signal:
0: no trigger active (idle)
1: trigger start sampling; </t>
    </r>
    <r>
      <rPr>
        <sz val="10"/>
        <color rgb="FF000000"/>
        <rFont val="宋体"/>
        <charset val="134"/>
      </rPr>
      <t>上升沿触发</t>
    </r>
  </si>
  <si>
    <r>
      <rPr>
        <sz val="10"/>
        <color rgb="FFFF0000"/>
        <rFont val="Times New Roman"/>
        <charset val="134"/>
      </rPr>
      <t>FSM</t>
    </r>
    <r>
      <rPr>
        <sz val="10"/>
        <color rgb="FFFF0000"/>
        <rFont val="宋体"/>
        <charset val="134"/>
      </rPr>
      <t>控制</t>
    </r>
    <r>
      <rPr>
        <sz val="10"/>
        <color rgb="FFFF0000"/>
        <rFont val="Times New Roman"/>
        <charset val="134"/>
      </rPr>
      <t>,</t>
    </r>
    <r>
      <rPr>
        <sz val="10"/>
        <color rgb="FFFF0000"/>
        <rFont val="宋体"/>
        <charset val="134"/>
      </rPr>
      <t>同时保留测试模式下寄存器可配置选项！</t>
    </r>
  </si>
  <si>
    <t>RW_ADC_MODE</t>
  </si>
  <si>
    <r>
      <rPr>
        <sz val="10"/>
        <color rgb="FF000000"/>
        <rFont val="Times New Roman"/>
        <charset val="134"/>
      </rPr>
      <t xml:space="preserve">ADC sampling Mode Select:
0: 1-shot start-sample mode; </t>
    </r>
    <r>
      <rPr>
        <sz val="10"/>
        <color rgb="FF000000"/>
        <rFont val="宋体"/>
        <charset val="134"/>
      </rPr>
      <t>默认</t>
    </r>
    <r>
      <rPr>
        <sz val="10"/>
        <color rgb="FF000000"/>
        <rFont val="Times New Roman"/>
        <charset val="134"/>
      </rPr>
      <t xml:space="preserve">
1: Continue-sample mode;</t>
    </r>
  </si>
  <si>
    <t>FSM控制,同时保留测试模式下寄存器可配置选项！</t>
  </si>
  <si>
    <t>RW_ADC_MUX_EN</t>
  </si>
  <si>
    <r>
      <rPr>
        <sz val="10"/>
        <color rgb="FF000000"/>
        <rFont val="Times New Roman"/>
        <charset val="134"/>
      </rPr>
      <t xml:space="preserve">ADC MUX enable (EN): 
0: disable;  1: enable;  </t>
    </r>
    <r>
      <rPr>
        <sz val="10"/>
        <color rgb="FF000000"/>
        <rFont val="宋体"/>
        <charset val="134"/>
      </rPr>
      <t>控制MUX是否开启</t>
    </r>
    <r>
      <rPr>
        <sz val="10"/>
        <color rgb="FF000000"/>
        <rFont val="Times New Roman"/>
        <charset val="134"/>
      </rPr>
      <t>;</t>
    </r>
  </si>
  <si>
    <t>RW_ADC_MUX&lt;4:0&gt;</t>
  </si>
  <si>
    <t>00000</t>
  </si>
  <si>
    <t>ADC MUX signals, select as FSM
00000：CSA_VSEN
00001：CSA_VSEN
00010：CSA_VSEN
00011：CSA_VLPF
00100：GPIO28
00101：GPIO29
00110：GPIO30
00111：GPIO35
01000：GPIO36
01001：GPIO37
01010：GPIO38
01011：GPIO39
01100：GPIO40
01101：VDD33_VSEN
01110：TJ_REF
01111：ATP_MUX
10000：GPIO0
10001：GPIO1
10010：GPIO2
10011：GPIO3
10100：GPIO4
10101：GPIO5
10110：GPIO6
10111：GPIO7
11000：GPIO8
11001：GPIO9
11010：GPIO10
11011：GPIO11
11100：GPIO12
11101：GPIO13
11110：GPIO14
11111：VREF_1P20</t>
  </si>
  <si>
    <t>RW_ADC_CLK&lt;1:0&gt;</t>
  </si>
  <si>
    <r>
      <rPr>
        <sz val="10"/>
        <color rgb="FF000000"/>
        <rFont val="Times New Roman"/>
        <charset val="134"/>
      </rPr>
      <t xml:space="preserve">ADC sampling clock select:
00:  250K sps  (4us)
01:  500K sps (2us)
10:  1M sps (1us)
11:  2M sps (0.5us)
</t>
    </r>
    <r>
      <rPr>
        <sz val="10"/>
        <color rgb="FF000000"/>
        <rFont val="宋体"/>
        <charset val="134"/>
      </rPr>
      <t>注</t>
    </r>
    <r>
      <rPr>
        <sz val="10"/>
        <color rgb="FF000000"/>
        <rFont val="Times New Roman"/>
        <charset val="134"/>
      </rPr>
      <t xml:space="preserve">: </t>
    </r>
    <r>
      <rPr>
        <sz val="10"/>
        <color rgb="FF000000"/>
        <rFont val="宋体"/>
        <charset val="134"/>
      </rPr>
      <t>默认选择</t>
    </r>
    <r>
      <rPr>
        <sz val="10"/>
        <color rgb="FF000000"/>
        <rFont val="Times New Roman"/>
        <charset val="134"/>
      </rPr>
      <t xml:space="preserve">10, </t>
    </r>
    <r>
      <rPr>
        <sz val="10"/>
        <color rgb="FF000000"/>
        <rFont val="宋体"/>
        <charset val="134"/>
      </rPr>
      <t>降低</t>
    </r>
    <r>
      <rPr>
        <sz val="10"/>
        <color rgb="FF000000"/>
        <rFont val="Times New Roman"/>
        <charset val="134"/>
      </rPr>
      <t>ADC</t>
    </r>
    <r>
      <rPr>
        <sz val="10"/>
        <color rgb="FF000000"/>
        <rFont val="宋体"/>
        <charset val="134"/>
      </rPr>
      <t>采样速度</t>
    </r>
    <r>
      <rPr>
        <sz val="10"/>
        <color rgb="FF000000"/>
        <rFont val="Times New Roman"/>
        <charset val="134"/>
      </rPr>
      <t>;</t>
    </r>
  </si>
  <si>
    <t>RW_ADC_VALID</t>
  </si>
  <si>
    <r>
      <rPr>
        <sz val="11"/>
        <color rgb="FF000000"/>
        <rFont val="宋体"/>
        <charset val="134"/>
      </rPr>
      <t>用于</t>
    </r>
    <r>
      <rPr>
        <sz val="11"/>
        <color rgb="FF000000"/>
        <rFont val="Times New Roman"/>
        <charset val="134"/>
      </rPr>
      <t>ADC latch</t>
    </r>
    <r>
      <rPr>
        <sz val="11"/>
        <color rgb="FF000000"/>
        <rFont val="宋体"/>
        <charset val="134"/>
      </rPr>
      <t>比较器输出和下一次采样时序调节</t>
    </r>
    <r>
      <rPr>
        <sz val="11"/>
        <color rgb="FF000000"/>
        <rFont val="Times New Roman"/>
        <charset val="134"/>
      </rPr>
      <t>:
0</t>
    </r>
    <r>
      <rPr>
        <sz val="11"/>
        <color rgb="FF000000"/>
        <rFont val="宋体"/>
        <charset val="134"/>
      </rPr>
      <t>：采样时序按照同步时钟进行</t>
    </r>
    <r>
      <rPr>
        <sz val="11"/>
        <color rgb="FF000000"/>
        <rFont val="Times New Roman"/>
        <charset val="134"/>
      </rPr>
      <t>;
1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ADC latch</t>
    </r>
    <r>
      <rPr>
        <sz val="11"/>
        <color rgb="FF000000"/>
        <rFont val="宋体"/>
        <charset val="134"/>
      </rPr>
      <t>比较器输出有效结果后才进行下一次采样</t>
    </r>
    <r>
      <rPr>
        <sz val="11"/>
        <color rgb="FF000000"/>
        <rFont val="Times New Roman"/>
        <charset val="134"/>
      </rPr>
      <t>;</t>
    </r>
  </si>
  <si>
    <t>RW_ADC_IBIAS</t>
  </si>
  <si>
    <r>
      <rPr>
        <sz val="11"/>
        <color rgb="FF000000"/>
        <rFont val="宋体"/>
        <charset val="134"/>
      </rPr>
      <t>调节</t>
    </r>
    <r>
      <rPr>
        <sz val="11"/>
        <color rgb="FF000000"/>
        <rFont val="Times New Roman"/>
        <charset val="134"/>
      </rPr>
      <t>ADC</t>
    </r>
    <r>
      <rPr>
        <sz val="11"/>
        <color rgb="FF000000"/>
        <rFont val="宋体"/>
        <charset val="134"/>
      </rPr>
      <t>电流：
0：原始电流；1：降电流约1/3，</t>
    </r>
    <r>
      <rPr>
        <sz val="11"/>
        <color rgb="FF000000"/>
        <rFont val="Times New Roman"/>
        <charset val="134"/>
      </rPr>
      <t>ADC</t>
    </r>
    <r>
      <rPr>
        <sz val="11"/>
        <color rgb="FF000000"/>
        <rFont val="宋体"/>
        <charset val="134"/>
      </rPr>
      <t>带宽也需要降低</t>
    </r>
  </si>
  <si>
    <t>RW_ADC_BUF_TP</t>
  </si>
  <si>
    <r>
      <rPr>
        <sz val="11"/>
        <color rgb="FF000000"/>
        <rFont val="宋体"/>
        <charset val="134"/>
      </rPr>
      <t>控制</t>
    </r>
    <r>
      <rPr>
        <sz val="11"/>
        <color rgb="FF000000"/>
        <rFont val="Times New Roman"/>
        <charset val="134"/>
      </rPr>
      <t>ADC BUF</t>
    </r>
    <r>
      <rPr>
        <sz val="11"/>
        <color rgb="FF000000"/>
        <rFont val="宋体"/>
        <charset val="134"/>
      </rPr>
      <t>的测试信号释放：
1：释放</t>
    </r>
    <r>
      <rPr>
        <sz val="11"/>
        <color rgb="FF000000"/>
        <rFont val="Times New Roman"/>
        <charset val="134"/>
      </rPr>
      <t>BUF</t>
    </r>
    <r>
      <rPr>
        <sz val="11"/>
        <color rgb="FF000000"/>
        <rFont val="宋体"/>
        <charset val="134"/>
      </rPr>
      <t>输出信号；0：不释放</t>
    </r>
  </si>
  <si>
    <t>RW_ADC_VREFH&lt;1:0&gt;</t>
  </si>
  <si>
    <r>
      <rPr>
        <sz val="11"/>
        <color rgb="FF000000"/>
        <rFont val="宋体"/>
        <charset val="134"/>
      </rPr>
      <t>配置</t>
    </r>
    <r>
      <rPr>
        <sz val="11"/>
        <color rgb="FF000000"/>
        <rFont val="Times New Roman"/>
        <charset val="134"/>
      </rPr>
      <t>ADC</t>
    </r>
    <r>
      <rPr>
        <sz val="11"/>
        <color rgb="FF000000"/>
        <rFont val="宋体"/>
        <charset val="134"/>
      </rPr>
      <t>量程：
00:1.5</t>
    </r>
    <r>
      <rPr>
        <sz val="11"/>
        <color rgb="FF000000"/>
        <rFont val="Times New Roman"/>
        <charset val="134"/>
      </rPr>
      <t>V
01</t>
    </r>
    <r>
      <rPr>
        <sz val="11"/>
        <color rgb="FF000000"/>
        <rFont val="宋体"/>
        <charset val="134"/>
      </rPr>
      <t>：2</t>
    </r>
    <r>
      <rPr>
        <sz val="11"/>
        <color rgb="FF000000"/>
        <rFont val="Times New Roman"/>
        <charset val="134"/>
      </rPr>
      <t>V
10:2.5V
11:3V</t>
    </r>
  </si>
  <si>
    <t>RW_ADC_VREFH_BYPS</t>
  </si>
  <si>
    <r>
      <rPr>
        <sz val="11"/>
        <color rgb="FF000000"/>
        <rFont val="宋体"/>
        <charset val="134"/>
      </rPr>
      <t>配置</t>
    </r>
    <r>
      <rPr>
        <sz val="11"/>
        <color rgb="FF000000"/>
        <rFont val="Times New Roman"/>
        <charset val="134"/>
      </rPr>
      <t>ADC</t>
    </r>
    <r>
      <rPr>
        <sz val="11"/>
        <color rgb="FF000000"/>
        <rFont val="宋体"/>
        <charset val="134"/>
      </rPr>
      <t>量程到</t>
    </r>
    <r>
      <rPr>
        <sz val="11"/>
        <color rgb="FF000000"/>
        <rFont val="Times New Roman"/>
        <charset val="134"/>
      </rPr>
      <t>VDD33</t>
    </r>
    <r>
      <rPr>
        <sz val="11"/>
        <color rgb="FF000000"/>
        <rFont val="宋体"/>
        <charset val="134"/>
      </rPr>
      <t>使能：
0：</t>
    </r>
    <r>
      <rPr>
        <sz val="11"/>
        <color rgb="FF000000"/>
        <rFont val="Times New Roman"/>
        <charset val="134"/>
      </rPr>
      <t>ADC</t>
    </r>
    <r>
      <rPr>
        <sz val="11"/>
        <color rgb="FF000000"/>
        <rFont val="宋体"/>
        <charset val="134"/>
      </rPr>
      <t>量程按照</t>
    </r>
    <r>
      <rPr>
        <sz val="11"/>
        <color rgb="FF000000"/>
        <rFont val="Times New Roman"/>
        <charset val="134"/>
      </rPr>
      <t>RW_ADC_VREFH&lt;1:0&gt;</t>
    </r>
    <r>
      <rPr>
        <sz val="11"/>
        <color rgb="FF000000"/>
        <rFont val="宋体"/>
        <charset val="134"/>
      </rPr>
      <t>配置；
1：</t>
    </r>
    <r>
      <rPr>
        <sz val="11"/>
        <color rgb="FF000000"/>
        <rFont val="Times New Roman"/>
        <charset val="134"/>
      </rPr>
      <t>ADC</t>
    </r>
    <r>
      <rPr>
        <sz val="11"/>
        <color rgb="FF000000"/>
        <rFont val="宋体"/>
        <charset val="134"/>
      </rPr>
      <t>量程等于</t>
    </r>
    <r>
      <rPr>
        <sz val="11"/>
        <color rgb="FF000000"/>
        <rFont val="Times New Roman"/>
        <charset val="134"/>
      </rPr>
      <t>VDD33</t>
    </r>
    <r>
      <rPr>
        <sz val="11"/>
        <color rgb="FF000000"/>
        <rFont val="宋体"/>
        <charset val="134"/>
      </rPr>
      <t>大小，电路仅保留</t>
    </r>
    <r>
      <rPr>
        <sz val="11"/>
        <color rgb="FF000000"/>
        <rFont val="Times New Roman"/>
        <charset val="134"/>
      </rPr>
      <t>VDD33</t>
    </r>
    <r>
      <rPr>
        <sz val="11"/>
        <color rgb="FF000000"/>
        <rFont val="宋体"/>
        <charset val="134"/>
      </rPr>
      <t>到</t>
    </r>
    <r>
      <rPr>
        <sz val="11"/>
        <color rgb="FF000000"/>
        <rFont val="Times New Roman"/>
        <charset val="134"/>
      </rPr>
      <t>VREFH</t>
    </r>
    <r>
      <rPr>
        <sz val="11"/>
        <color rgb="FF000000"/>
        <rFont val="宋体"/>
        <charset val="134"/>
      </rPr>
      <t>通路</t>
    </r>
  </si>
  <si>
    <t>RW_ADC_VREFH_IBIAS&lt;1:0&gt;</t>
  </si>
  <si>
    <r>
      <rPr>
        <sz val="11"/>
        <color rgb="FF000000"/>
        <rFont val="宋体"/>
        <charset val="134"/>
      </rPr>
      <t>调节</t>
    </r>
    <r>
      <rPr>
        <sz val="11"/>
        <color rgb="FF000000"/>
        <rFont val="Times New Roman"/>
        <charset val="134"/>
      </rPr>
      <t>ADC VREF</t>
    </r>
    <r>
      <rPr>
        <sz val="11"/>
        <color rgb="FF000000"/>
        <rFont val="宋体"/>
        <charset val="134"/>
      </rPr>
      <t>电流：
0：原始电流；1：降电流约1/2，</t>
    </r>
    <r>
      <rPr>
        <sz val="11"/>
        <color rgb="FF000000"/>
        <rFont val="Times New Roman"/>
        <charset val="134"/>
      </rPr>
      <t>ADC</t>
    </r>
    <r>
      <rPr>
        <sz val="11"/>
        <color rgb="FF000000"/>
        <rFont val="宋体"/>
        <charset val="134"/>
      </rPr>
      <t>带宽也需要降低</t>
    </r>
  </si>
  <si>
    <t>RW_ADC_VREFH_ATP</t>
  </si>
  <si>
    <r>
      <rPr>
        <sz val="11"/>
        <color rgb="FFFF0000"/>
        <rFont val="宋体"/>
        <charset val="134"/>
      </rPr>
      <t>控制</t>
    </r>
    <r>
      <rPr>
        <sz val="11"/>
        <color rgb="FFFF0000"/>
        <rFont val="Times New Roman"/>
        <charset val="134"/>
      </rPr>
      <t>ADC VREF</t>
    </r>
    <r>
      <rPr>
        <sz val="11"/>
        <color rgb="FFFF0000"/>
        <rFont val="宋体"/>
        <charset val="134"/>
      </rPr>
      <t>释放中间信号以测试：
0：不释放；1：释放</t>
    </r>
  </si>
  <si>
    <t>RW_ADC_RSV&lt;1:0&gt;</t>
  </si>
  <si>
    <t>MUX----- 0x40007C1C</t>
  </si>
  <si>
    <r>
      <rPr>
        <b/>
        <sz val="11"/>
        <color rgb="FF000000"/>
        <rFont val="Times New Roman"/>
        <charset val="134"/>
      </rPr>
      <t xml:space="preserve">MUX </t>
    </r>
    <r>
      <rPr>
        <b/>
        <sz val="11"/>
        <color rgb="FF000000"/>
        <rFont val="宋体"/>
        <charset val="134"/>
      </rPr>
      <t>或T</t>
    </r>
    <r>
      <rPr>
        <b/>
        <sz val="11"/>
        <color rgb="FF000000"/>
        <rFont val="Times New Roman"/>
        <charset val="134"/>
      </rPr>
      <t xml:space="preserve">est </t>
    </r>
    <r>
      <rPr>
        <b/>
        <sz val="11"/>
        <color rgb="FF000000"/>
        <rFont val="宋体"/>
        <charset val="134"/>
      </rPr>
      <t>测试</t>
    </r>
    <r>
      <rPr>
        <b/>
        <sz val="11"/>
        <color rgb="FF000000"/>
        <rFont val="Times New Roman"/>
        <charset val="134"/>
      </rPr>
      <t xml:space="preserve"> </t>
    </r>
    <r>
      <rPr>
        <b/>
        <sz val="11"/>
        <color rgb="FF000000"/>
        <rFont val="宋体"/>
        <charset val="134"/>
      </rPr>
      <t>寄存器</t>
    </r>
  </si>
  <si>
    <t>RW_ATP_MUX&lt;4:0&gt;</t>
  </si>
  <si>
    <r>
      <rPr>
        <sz val="11"/>
        <color rgb="FF000000"/>
        <rFont val="宋体"/>
        <charset val="134"/>
      </rPr>
      <t>选择</t>
    </r>
    <r>
      <rPr>
        <sz val="11"/>
        <color rgb="FF000000"/>
        <rFont val="Times New Roman"/>
        <charset val="134"/>
      </rPr>
      <t>ATP MUX</t>
    </r>
    <r>
      <rPr>
        <sz val="11"/>
        <color rgb="FF000000"/>
        <rFont val="宋体"/>
        <charset val="134"/>
      </rPr>
      <t>输出：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00000：VDD12_REF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00001：VSLP_0P90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00010：VREF_1P20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00011：VBG_1P20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00100：VREF_0P90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00101：ADC_VREFH_ATP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00110：ADC_VREFH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00111：ADC_BUF_ATP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01000：CSA_VLPF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01001：CSA_VSEN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01010：CSA_VTEST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01011：CSA_DAC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01100：VDD12D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01101：VDD12A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01110：VDD33D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01111：VDD33A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10000：LATCH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10001：PLL_VC_TP_IO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10010：TS_ISRC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10011：TJ_REF_ADC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10100：TJ_OTW_ATP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10101：TJ_OTS_ATP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10110：IREF_1U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10111：IREF_10U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11000：IBG_1U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11001：ISLP_75N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11010：NULL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11011: NULL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11100: NULL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11101: VSS33A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11110: VSS12A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11111: ADC_MUX_IN</t>
    </r>
    <r>
      <rPr>
        <sz val="12"/>
        <color theme="1"/>
        <rFont val="宋体"/>
        <charset val="134"/>
        <scheme val="minor"/>
      </rPr>
      <t xml:space="preserve">
</t>
    </r>
    <r>
      <rPr>
        <sz val="12"/>
        <color theme="1"/>
        <rFont val="宋体"/>
        <charset val="134"/>
        <scheme val="minor"/>
      </rPr>
      <t xml:space="preserve">
</t>
    </r>
    <r>
      <rPr>
        <sz val="12"/>
        <color theme="1"/>
        <rFont val="宋体"/>
        <charset val="134"/>
        <scheme val="minor"/>
      </rPr>
      <t xml:space="preserve">
</t>
    </r>
    <r>
      <rPr>
        <sz val="12"/>
        <color theme="1"/>
        <rFont val="宋体"/>
        <charset val="134"/>
        <scheme val="minor"/>
      </rPr>
      <t xml:space="preserve">
</t>
    </r>
  </si>
  <si>
    <t>RW_ATP_MUX_EN</t>
  </si>
  <si>
    <r>
      <rPr>
        <sz val="11"/>
        <color rgb="FF000000"/>
        <rFont val="Times New Roman"/>
        <charset val="134"/>
      </rPr>
      <t>ATP MUX</t>
    </r>
    <r>
      <rPr>
        <sz val="11"/>
        <color rgb="FF000000"/>
        <rFont val="宋体"/>
        <charset val="134"/>
      </rPr>
      <t>使能：
0：不使能；1：使能</t>
    </r>
  </si>
  <si>
    <t>RW_ATP_TG_EN</t>
  </si>
  <si>
    <r>
      <rPr>
        <sz val="11"/>
        <color rgb="FF000000"/>
        <rFont val="Times New Roman"/>
        <charset val="134"/>
      </rPr>
      <t>ATP</t>
    </r>
    <r>
      <rPr>
        <sz val="11"/>
        <color rgb="FF000000"/>
        <rFont val="宋体"/>
        <charset val="134"/>
      </rPr>
      <t>传输门使能：
0：不使能；1：使能</t>
    </r>
  </si>
  <si>
    <t>RW_ATP_BUF_EN</t>
  </si>
  <si>
    <r>
      <rPr>
        <sz val="11"/>
        <color rgb="FF000000"/>
        <rFont val="Times New Roman"/>
        <charset val="134"/>
      </rPr>
      <t>ATP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Times New Roman"/>
        <charset val="134"/>
      </rPr>
      <t>BUF</t>
    </r>
    <r>
      <rPr>
        <sz val="11"/>
        <color rgb="FF000000"/>
        <rFont val="宋体"/>
        <charset val="134"/>
      </rPr>
      <t>使能：
0：不使能；1：使能</t>
    </r>
  </si>
  <si>
    <t>RW_DTP_MUX&lt;4:0&gt;</t>
  </si>
  <si>
    <r>
      <rPr>
        <sz val="11"/>
        <color rgb="FF000000"/>
        <rFont val="宋体"/>
        <charset val="134"/>
      </rPr>
      <t>选择</t>
    </r>
    <r>
      <rPr>
        <sz val="11"/>
        <color rgb="FF000000"/>
        <rFont val="Times New Roman"/>
        <charset val="134"/>
      </rPr>
      <t>DTP MUX</t>
    </r>
    <r>
      <rPr>
        <sz val="11"/>
        <color rgb="FF000000"/>
        <rFont val="宋体"/>
        <charset val="134"/>
      </rPr>
      <t>输出: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00000:CSA_OC_NG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00001:TJ_OTS_NG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00010:TJ_OTW_NG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00011:VDD33_PVD_NG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00100:VDD33_BOR_NG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00101:PLL_ERR_NG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00110:PLL_RDY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00111:VDD33_POR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01000:VDD12_POR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01001:BG_RDY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01010:REF_RDY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01011:VDD_RSTN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01100:EN_ANA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01101:EN_DSLP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01110:EN_ISOLAT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01111:VDD12D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10000:PLL_CKO_DTP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10001:LSI_CKO_1K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10010:LSI_CKO_32K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10011:HSI_CKO_1M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10100：HSI_CKO_16M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10101：HSE_CKO_16M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10110：ADC_START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10111：ADC_DLAT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11000：ADC_SAMP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11001：ADC_CONV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11010：ADC_DATA&lt;5&gt;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11011：ADC_DATA&lt;4&gt;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11100：ADC_DATA&lt;3&gt;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11101：ADC_DATA&lt;2&gt;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11110：ADC_DATA&lt;1&gt;</t>
    </r>
    <r>
      <rPr>
        <sz val="12"/>
        <color theme="1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11111：ADC_DATA&lt;0&gt;</t>
    </r>
    <r>
      <rPr>
        <sz val="12"/>
        <color theme="1"/>
        <rFont val="宋体"/>
        <charset val="134"/>
        <scheme val="minor"/>
      </rPr>
      <t xml:space="preserve">
</t>
    </r>
  </si>
  <si>
    <t>RW_DTP_MUX_EN</t>
  </si>
  <si>
    <r>
      <rPr>
        <sz val="11"/>
        <color rgb="FF000000"/>
        <rFont val="Times New Roman"/>
        <charset val="134"/>
      </rPr>
      <t>DTP MUX</t>
    </r>
    <r>
      <rPr>
        <i/>
        <sz val="11"/>
        <color rgb="FF000000"/>
        <rFont val="宋体"/>
        <charset val="134"/>
      </rPr>
      <t>使能：
0：不使能；1：使能</t>
    </r>
  </si>
  <si>
    <t>RW_MUX_RSV&lt;1:0&gt;</t>
  </si>
  <si>
    <t>TRM1----- 0x40007C20</t>
  </si>
  <si>
    <r>
      <rPr>
        <b/>
        <sz val="11"/>
        <color rgb="FF000000"/>
        <rFont val="宋体"/>
        <charset val="134"/>
      </rPr>
      <t>校准寄存器</t>
    </r>
    <r>
      <rPr>
        <b/>
        <sz val="11"/>
        <color rgb="FF000000"/>
        <rFont val="Times New Roman"/>
        <charset val="134"/>
      </rPr>
      <t xml:space="preserve">: </t>
    </r>
    <r>
      <rPr>
        <b/>
        <sz val="11"/>
        <color rgb="FF000000"/>
        <rFont val="宋体"/>
        <charset val="134"/>
      </rPr>
      <t>电流</t>
    </r>
    <r>
      <rPr>
        <b/>
        <sz val="11"/>
        <color rgb="FF000000"/>
        <rFont val="Times New Roman"/>
        <charset val="134"/>
      </rPr>
      <t>/</t>
    </r>
    <r>
      <rPr>
        <b/>
        <sz val="11"/>
        <color rgb="FF000000"/>
        <rFont val="宋体"/>
        <charset val="134"/>
      </rPr>
      <t>电压</t>
    </r>
    <r>
      <rPr>
        <b/>
        <sz val="11"/>
        <color rgb="FF000000"/>
        <rFont val="Times New Roman"/>
        <charset val="134"/>
      </rPr>
      <t>/</t>
    </r>
    <r>
      <rPr>
        <b/>
        <sz val="11"/>
        <color rgb="FF000000"/>
        <rFont val="宋体"/>
        <charset val="134"/>
      </rPr>
      <t>温度</t>
    </r>
    <r>
      <rPr>
        <b/>
        <sz val="11"/>
        <color rgb="FF000000"/>
        <rFont val="Times New Roman"/>
        <charset val="134"/>
      </rPr>
      <t>(1)</t>
    </r>
  </si>
  <si>
    <t>RW_REF_VTRM&lt;4:0&gt;</t>
  </si>
  <si>
    <t>01111</t>
  </si>
  <si>
    <r>
      <rPr>
        <sz val="11"/>
        <color rgb="FF000000"/>
        <rFont val="宋体"/>
        <charset val="134"/>
      </rPr>
      <t>正常模式下，</t>
    </r>
    <r>
      <rPr>
        <sz val="11"/>
        <color rgb="FF000000"/>
        <rFont val="Times New Roman"/>
        <charset val="134"/>
      </rPr>
      <t>REF</t>
    </r>
    <r>
      <rPr>
        <sz val="11"/>
        <color rgb="FF000000"/>
        <rFont val="宋体"/>
        <charset val="134"/>
      </rPr>
      <t>的参考电压校准</t>
    </r>
  </si>
  <si>
    <t>RW_REF_ITRM&lt;3:0&gt;</t>
  </si>
  <si>
    <t>0110</t>
  </si>
  <si>
    <r>
      <rPr>
        <sz val="11"/>
        <color rgb="FF000000"/>
        <rFont val="宋体"/>
        <charset val="134"/>
      </rPr>
      <t>正常模式下，</t>
    </r>
    <r>
      <rPr>
        <sz val="11"/>
        <color rgb="FF000000"/>
        <rFont val="Times New Roman"/>
        <charset val="134"/>
      </rPr>
      <t>REF</t>
    </r>
    <r>
      <rPr>
        <sz val="11"/>
        <color rgb="FF000000"/>
        <rFont val="宋体"/>
        <charset val="134"/>
      </rPr>
      <t>的参考电流校准</t>
    </r>
  </si>
  <si>
    <t>RW_LDO12_VTRM&lt;2:0&gt;</t>
  </si>
  <si>
    <r>
      <rPr>
        <sz val="11"/>
        <color rgb="FF000000"/>
        <rFont val="宋体"/>
        <charset val="134"/>
      </rPr>
      <t>正常模式下，</t>
    </r>
    <r>
      <rPr>
        <sz val="11"/>
        <color rgb="FF000000"/>
        <rFont val="Times New Roman"/>
        <charset val="134"/>
      </rPr>
      <t>VDD12</t>
    </r>
    <r>
      <rPr>
        <sz val="11"/>
        <color rgb="FF000000"/>
        <rFont val="宋体"/>
        <charset val="134"/>
      </rPr>
      <t>电压值校准</t>
    </r>
    <r>
      <rPr>
        <sz val="11"/>
        <color rgb="FF000000"/>
        <rFont val="Times New Roman"/>
        <charset val="134"/>
      </rPr>
      <t>;</t>
    </r>
  </si>
  <si>
    <t>RW_SLP12_VTRM&lt;1:0&gt;</t>
  </si>
  <si>
    <r>
      <rPr>
        <sz val="11"/>
        <color rgb="FF000000"/>
        <rFont val="宋体"/>
        <charset val="134"/>
      </rPr>
      <t>睡眠模式下，</t>
    </r>
    <r>
      <rPr>
        <sz val="11"/>
        <color rgb="FF000000"/>
        <rFont val="Times New Roman"/>
        <charset val="134"/>
      </rPr>
      <t>VDD12</t>
    </r>
    <r>
      <rPr>
        <sz val="11"/>
        <color rgb="FF000000"/>
        <rFont val="宋体"/>
        <charset val="134"/>
      </rPr>
      <t>电压值校准</t>
    </r>
    <r>
      <rPr>
        <sz val="11"/>
        <color rgb="FF000000"/>
        <rFont val="Times New Roman"/>
        <charset val="134"/>
      </rPr>
      <t>;</t>
    </r>
  </si>
  <si>
    <t>RW_SLP_REF_VTRM&lt;3:0&gt;</t>
  </si>
  <si>
    <t>1000</t>
  </si>
  <si>
    <r>
      <rPr>
        <sz val="11"/>
        <color rgb="FF000000"/>
        <rFont val="宋体"/>
        <charset val="134"/>
      </rPr>
      <t>睡眠模式下，</t>
    </r>
    <r>
      <rPr>
        <sz val="11"/>
        <color rgb="FF000000"/>
        <rFont val="Times New Roman"/>
        <charset val="134"/>
      </rPr>
      <t>SLP REF</t>
    </r>
    <r>
      <rPr>
        <sz val="11"/>
        <color rgb="FF000000"/>
        <rFont val="宋体"/>
        <charset val="134"/>
      </rPr>
      <t>参考电压值校准</t>
    </r>
    <r>
      <rPr>
        <sz val="11"/>
        <color rgb="FF000000"/>
        <rFont val="Times New Roman"/>
        <charset val="134"/>
      </rPr>
      <t>;</t>
    </r>
  </si>
  <si>
    <t>RW_ADC_VREFH_VTRM&lt;2:0&gt;</t>
  </si>
  <si>
    <t>100</t>
  </si>
  <si>
    <r>
      <rPr>
        <sz val="11"/>
        <color rgb="FFFF0000"/>
        <rFont val="宋体"/>
        <charset val="134"/>
      </rPr>
      <t>正常模式下，</t>
    </r>
    <r>
      <rPr>
        <sz val="11"/>
        <color rgb="FFFF0000"/>
        <rFont val="Times New Roman"/>
        <charset val="134"/>
      </rPr>
      <t>ADC VREFH</t>
    </r>
    <r>
      <rPr>
        <sz val="11"/>
        <color rgb="FFFF0000"/>
        <rFont val="宋体"/>
        <charset val="134"/>
      </rPr>
      <t>参考电压值</t>
    </r>
    <r>
      <rPr>
        <sz val="11"/>
        <color rgb="FFFF0000"/>
        <rFont val="Times New Roman"/>
        <charset val="134"/>
      </rPr>
      <t>OFFSET</t>
    </r>
    <r>
      <rPr>
        <sz val="11"/>
        <color rgb="FFFF0000"/>
        <rFont val="宋体"/>
        <charset val="134"/>
      </rPr>
      <t>校准</t>
    </r>
    <r>
      <rPr>
        <sz val="11"/>
        <color rgb="FFFF0000"/>
        <rFont val="Times New Roman"/>
        <charset val="134"/>
      </rPr>
      <t>;</t>
    </r>
  </si>
  <si>
    <t>RW_CSA_OS_VTRM&lt;4:0&gt;</t>
  </si>
  <si>
    <t>10000</t>
  </si>
  <si>
    <r>
      <rPr>
        <sz val="11"/>
        <color rgb="FF000000"/>
        <rFont val="宋体"/>
        <charset val="134"/>
      </rPr>
      <t>正常模式下，</t>
    </r>
    <r>
      <rPr>
        <sz val="11"/>
        <color rgb="FF000000"/>
        <rFont val="Times New Roman"/>
        <charset val="134"/>
      </rPr>
      <t>CSA OFFSET</t>
    </r>
    <r>
      <rPr>
        <sz val="11"/>
        <color rgb="FF000000"/>
        <rFont val="宋体"/>
        <charset val="134"/>
      </rPr>
      <t>值校准</t>
    </r>
    <r>
      <rPr>
        <sz val="11"/>
        <color rgb="FF000000"/>
        <rFont val="Times New Roman"/>
        <charset val="134"/>
      </rPr>
      <t>;</t>
    </r>
  </si>
  <si>
    <t>TRM2----- 0x40007C24</t>
  </si>
  <si>
    <r>
      <rPr>
        <b/>
        <sz val="11"/>
        <color rgb="FF000000"/>
        <rFont val="宋体"/>
        <charset val="134"/>
      </rPr>
      <t>校准寄存器</t>
    </r>
    <r>
      <rPr>
        <b/>
        <sz val="11"/>
        <color rgb="FF000000"/>
        <rFont val="Times New Roman"/>
        <charset val="134"/>
      </rPr>
      <t xml:space="preserve">: </t>
    </r>
    <r>
      <rPr>
        <b/>
        <sz val="11"/>
        <color rgb="FF000000"/>
        <rFont val="宋体"/>
        <charset val="134"/>
      </rPr>
      <t>电流</t>
    </r>
    <r>
      <rPr>
        <b/>
        <sz val="11"/>
        <color rgb="FF000000"/>
        <rFont val="Times New Roman"/>
        <charset val="134"/>
      </rPr>
      <t>/</t>
    </r>
    <r>
      <rPr>
        <b/>
        <sz val="11"/>
        <color rgb="FF000000"/>
        <rFont val="宋体"/>
        <charset val="134"/>
      </rPr>
      <t>电压</t>
    </r>
    <r>
      <rPr>
        <b/>
        <sz val="11"/>
        <color rgb="FF000000"/>
        <rFont val="Times New Roman"/>
        <charset val="134"/>
      </rPr>
      <t>/</t>
    </r>
    <r>
      <rPr>
        <b/>
        <sz val="11"/>
        <color rgb="FF000000"/>
        <rFont val="宋体"/>
        <charset val="134"/>
      </rPr>
      <t>温度</t>
    </r>
    <r>
      <rPr>
        <b/>
        <sz val="11"/>
        <color rgb="FF000000"/>
        <rFont val="Times New Roman"/>
        <charset val="134"/>
      </rPr>
      <t>(2)</t>
    </r>
  </si>
  <si>
    <t>RW_HSI_FTRM&lt;6:0&gt;</t>
  </si>
  <si>
    <t>0111010</t>
  </si>
  <si>
    <r>
      <rPr>
        <sz val="11"/>
        <color rgb="FFFF0000"/>
        <rFont val="Times New Roman"/>
        <charset val="134"/>
      </rPr>
      <t xml:space="preserve">HSI-32M </t>
    </r>
    <r>
      <rPr>
        <sz val="11"/>
        <color rgb="FFFF0000"/>
        <rFont val="宋体"/>
        <charset val="134"/>
      </rPr>
      <t>时钟校准寄存器</t>
    </r>
    <r>
      <rPr>
        <sz val="11"/>
        <color rgb="FFFF0000"/>
        <rFont val="Times New Roman"/>
        <charset val="134"/>
      </rPr>
      <t>, 7bit; (typical freq as)
0x00: 49.14MHz;
0x3A: 32.06MHz; 
0xFF: 22.69MHz; 
Step=~ 0.20MHz;
(</t>
    </r>
    <r>
      <rPr>
        <sz val="11"/>
        <color rgb="FFFF0000"/>
        <rFont val="宋体"/>
        <charset val="134"/>
      </rPr>
      <t>校准前偏差范围</t>
    </r>
    <r>
      <rPr>
        <sz val="11"/>
        <color rgb="FFFF0000"/>
        <rFont val="Times New Roman"/>
        <charset val="134"/>
      </rPr>
      <t xml:space="preserve">: 22.6M~49.1M,  -30%~+53%)
</t>
    </r>
    <r>
      <rPr>
        <sz val="11"/>
        <color rgb="FFFF0000"/>
        <rFont val="宋体"/>
        <charset val="134"/>
      </rPr>
      <t xml:space="preserve">输出用于校准的时钟 </t>
    </r>
    <r>
      <rPr>
        <sz val="11"/>
        <color rgb="FFFF0000"/>
        <rFont val="Times New Roman"/>
        <charset val="134"/>
      </rPr>
      <t>~1MHz;</t>
    </r>
  </si>
  <si>
    <t>RW_LSI_FTRM&lt;6:0&gt;</t>
  </si>
  <si>
    <t>1000110</t>
  </si>
  <si>
    <r>
      <rPr>
        <sz val="11"/>
        <color rgb="FFFF0000"/>
        <rFont val="Times New Roman"/>
        <charset val="134"/>
      </rPr>
      <t xml:space="preserve">LSI-32K </t>
    </r>
    <r>
      <rPr>
        <sz val="11"/>
        <color rgb="FFFF0000"/>
        <rFont val="宋体"/>
        <charset val="134"/>
      </rPr>
      <t>时钟校准寄存器</t>
    </r>
    <r>
      <rPr>
        <sz val="11"/>
        <color rgb="FFFF0000"/>
        <rFont val="Times New Roman"/>
        <charset val="134"/>
      </rPr>
      <t>, 7bit; (typical freq as)
0x00: 51.64KHz; 
0x39: 31.99KHz; 
0xFF: 21.80KHz;
Step= ~0.20KHz;
(</t>
    </r>
    <r>
      <rPr>
        <sz val="11"/>
        <color rgb="FFFF0000"/>
        <rFont val="宋体"/>
        <charset val="134"/>
      </rPr>
      <t>校准前偏差范围</t>
    </r>
    <r>
      <rPr>
        <sz val="11"/>
        <color rgb="FFFF0000"/>
        <rFont val="Times New Roman"/>
        <charset val="134"/>
      </rPr>
      <t xml:space="preserve">: 22K~49KHz, -31%~+62%)
</t>
    </r>
    <r>
      <rPr>
        <sz val="11"/>
        <color rgb="FFFF0000"/>
        <rFont val="宋体"/>
        <charset val="134"/>
      </rPr>
      <t>输出用于校准的时钟</t>
    </r>
    <r>
      <rPr>
        <sz val="11"/>
        <color rgb="FFFF0000"/>
        <rFont val="Times New Roman"/>
        <charset val="134"/>
      </rPr>
      <t xml:space="preserve"> ~1KHz </t>
    </r>
    <r>
      <rPr>
        <sz val="11"/>
        <color rgb="FFFF0000"/>
        <rFont val="宋体"/>
        <charset val="134"/>
      </rPr>
      <t>或 32</t>
    </r>
    <r>
      <rPr>
        <sz val="11"/>
        <color rgb="FFFF0000"/>
        <rFont val="Times New Roman"/>
        <charset val="134"/>
      </rPr>
      <t>KHz;</t>
    </r>
  </si>
  <si>
    <t>RW_TJ_TTRM&lt;4:0&gt;</t>
  </si>
  <si>
    <r>
      <rPr>
        <sz val="11"/>
        <color rgb="FF000000"/>
        <rFont val="Times New Roman"/>
        <charset val="134"/>
      </rPr>
      <t>TJ</t>
    </r>
    <r>
      <rPr>
        <sz val="11"/>
        <color rgb="FF000000"/>
        <rFont val="宋体"/>
        <charset val="134"/>
      </rPr>
      <t>温度校准（常温下单点校准）</t>
    </r>
  </si>
  <si>
    <t>RW_TS_ITRM&lt;5:0&gt;</t>
  </si>
  <si>
    <t>100000</t>
  </si>
  <si>
    <r>
      <rPr>
        <sz val="11"/>
        <color rgb="FF000000"/>
        <rFont val="Times New Roman"/>
        <charset val="134"/>
      </rPr>
      <t>TS</t>
    </r>
    <r>
      <rPr>
        <sz val="11"/>
        <color rgb="FF000000"/>
        <rFont val="宋体"/>
        <charset val="134"/>
      </rPr>
      <t xml:space="preserve">温度检测输出电流校准
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宋体"/>
        <charset val="134"/>
      </rPr>
      <t>内部是</t>
    </r>
    <r>
      <rPr>
        <sz val="11"/>
        <color rgb="FF000000"/>
        <rFont val="Times New Roman"/>
        <charset val="134"/>
      </rPr>
      <t>20/40uA</t>
    </r>
    <r>
      <rPr>
        <sz val="11"/>
        <color rgb="FF000000"/>
        <rFont val="宋体"/>
        <charset val="134"/>
      </rPr>
      <t>的电流</t>
    </r>
    <r>
      <rPr>
        <sz val="11"/>
        <color rgb="FF000000"/>
        <rFont val="Times New Roman"/>
        <charset val="134"/>
      </rPr>
      <t xml:space="preserve">, </t>
    </r>
    <r>
      <rPr>
        <sz val="11"/>
        <color rgb="FF000000"/>
        <rFont val="宋体"/>
        <charset val="134"/>
      </rPr>
      <t>配合外部10</t>
    </r>
    <r>
      <rPr>
        <sz val="11"/>
        <color rgb="FF000000"/>
        <rFont val="Times New Roman"/>
        <charset val="134"/>
      </rPr>
      <t>K NTC</t>
    </r>
    <r>
      <rPr>
        <sz val="11"/>
        <color rgb="FF000000"/>
        <rFont val="宋体"/>
        <charset val="134"/>
      </rPr>
      <t>电阻</t>
    </r>
    <r>
      <rPr>
        <sz val="11"/>
        <color rgb="FF000000"/>
        <rFont val="Times New Roman"/>
        <charset val="134"/>
      </rPr>
      <t>)</t>
    </r>
  </si>
  <si>
    <t>RW_BG_TTRM&lt;5:0&gt;</t>
  </si>
  <si>
    <t>011110</t>
  </si>
  <si>
    <r>
      <rPr>
        <sz val="11"/>
        <color rgb="FF000000"/>
        <rFont val="宋体"/>
        <charset val="134"/>
      </rPr>
      <t>正常模式下，</t>
    </r>
    <r>
      <rPr>
        <sz val="11"/>
        <color rgb="FF000000"/>
        <rFont val="Times New Roman"/>
        <charset val="134"/>
      </rPr>
      <t>BG</t>
    </r>
    <r>
      <rPr>
        <sz val="11"/>
        <color rgb="FF000000"/>
        <rFont val="宋体"/>
        <charset val="134"/>
      </rPr>
      <t>的温度曲线校准</t>
    </r>
  </si>
  <si>
    <t>Total RW registers</t>
  </si>
  <si>
    <t>bits</t>
  </si>
  <si>
    <t>NC counter</t>
  </si>
  <si>
    <t>Version: 0.1:      2024-9-25</t>
  </si>
  <si>
    <t>Initial Version for registers define;</t>
  </si>
  <si>
    <t>Version: 0.2:      2026-01-22</t>
  </si>
  <si>
    <t>Update the registers define for digital design connection;</t>
  </si>
  <si>
    <t>Version: 0.3:      2026-01-26</t>
  </si>
  <si>
    <t>Version: 0.4:      2026-02-06</t>
  </si>
  <si>
    <t>Update the registers which marked as YELLOW color;</t>
  </si>
  <si>
    <t>Version: 0.5:      2026-02-24</t>
  </si>
  <si>
    <t>Update the registers, add RW_ISOLAT_EN, RW_DSLP_OFF_V12D;  which marked as YELLOW color;</t>
  </si>
  <si>
    <t>Update the backup registers, RW_xx_RSV&lt;&gt;;  which marked as YELLOW color;</t>
  </si>
  <si>
    <t>Version: 0.6:      2026-03-25</t>
  </si>
  <si>
    <t xml:space="preserve"> add RW_HXT_XI_OFF;  which marked as YELLOW color;</t>
  </si>
  <si>
    <t>Version: 0.7:      2026-03-25</t>
  </si>
  <si>
    <t xml:space="preserve"> add RW_ADC_VREFH_IBIAS&lt;1:0&gt;;  which marked as YELLOW color;</t>
  </si>
  <si>
    <t>Function Module</t>
  </si>
  <si>
    <t>Interface Signals</t>
  </si>
  <si>
    <t>Bits Width</t>
  </si>
  <si>
    <r>
      <rPr>
        <b/>
        <sz val="10"/>
        <color rgb="FF000000"/>
        <rFont val="Times New Roman"/>
        <charset val="134"/>
      </rPr>
      <t>In/Out
(</t>
    </r>
    <r>
      <rPr>
        <b/>
        <sz val="10"/>
        <color rgb="FF000000"/>
        <rFont val="宋体"/>
        <charset val="134"/>
      </rPr>
      <t>参考模拟</t>
    </r>
    <r>
      <rPr>
        <b/>
        <sz val="10"/>
        <color rgb="FF000000"/>
        <rFont val="Times New Roman"/>
        <charset val="134"/>
      </rPr>
      <t>)</t>
    </r>
  </si>
  <si>
    <r>
      <rPr>
        <b/>
        <sz val="11"/>
        <color rgb="FF000000"/>
        <rFont val="宋体"/>
        <charset val="134"/>
      </rPr>
      <t>说明</t>
    </r>
  </si>
  <si>
    <t>中断等级</t>
  </si>
  <si>
    <r>
      <rPr>
        <b/>
        <sz val="11"/>
        <color rgb="FF000000"/>
        <rFont val="Times New Roman"/>
        <charset val="134"/>
      </rPr>
      <t xml:space="preserve">A2D_* </t>
    </r>
    <r>
      <rPr>
        <b/>
        <sz val="11"/>
        <color rgb="FF000000"/>
        <rFont val="宋体"/>
        <charset val="134"/>
      </rPr>
      <t>和</t>
    </r>
    <r>
      <rPr>
        <b/>
        <sz val="11"/>
        <color rgb="FF000000"/>
        <rFont val="Times New Roman"/>
        <charset val="134"/>
      </rPr>
      <t xml:space="preserve"> D2A_* </t>
    </r>
    <r>
      <rPr>
        <b/>
        <sz val="11"/>
        <color rgb="FF000000"/>
        <rFont val="宋体"/>
        <charset val="134"/>
      </rPr>
      <t>接口信号</t>
    </r>
    <r>
      <rPr>
        <b/>
        <sz val="11"/>
        <color rgb="FF000000"/>
        <rFont val="Times New Roman"/>
        <charset val="134"/>
      </rPr>
      <t>(A2D: Analog to Digital; D2A: Digital to Analog)</t>
    </r>
  </si>
  <si>
    <t>RESET</t>
  </si>
  <si>
    <t>A2D_VDD_RSTN</t>
  </si>
  <si>
    <t>output</t>
  </si>
  <si>
    <r>
      <rPr>
        <sz val="11"/>
        <color rgb="FF000000"/>
        <rFont val="Times New Roman"/>
        <charset val="134"/>
      </rPr>
      <t>POR/BOR resetn (</t>
    </r>
    <r>
      <rPr>
        <sz val="11"/>
        <color rgb="FF000000"/>
        <rFont val="宋体"/>
        <charset val="134"/>
      </rPr>
      <t>低有效</t>
    </r>
    <r>
      <rPr>
        <sz val="11"/>
        <color rgb="FF000000"/>
        <rFont val="Times New Roman"/>
        <charset val="134"/>
      </rPr>
      <t>, '0'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Times New Roman"/>
        <charset val="134"/>
      </rPr>
      <t xml:space="preserve">active) </t>
    </r>
    <r>
      <rPr>
        <sz val="11"/>
        <color rgb="FF000000"/>
        <rFont val="宋体"/>
        <charset val="134"/>
      </rPr>
      <t>输出给数字，用来上电复位数字内部寄存器；</t>
    </r>
  </si>
  <si>
    <r>
      <rPr>
        <sz val="11"/>
        <color rgb="FFFF0000"/>
        <rFont val="宋体"/>
        <charset val="134"/>
      </rPr>
      <t>全芯片</t>
    </r>
    <r>
      <rPr>
        <sz val="11"/>
        <color rgb="FFFF0000"/>
        <rFont val="Times New Roman"/>
        <charset val="134"/>
      </rPr>
      <t>hard-reset, 0 active.</t>
    </r>
  </si>
  <si>
    <t>CLK</t>
  </si>
  <si>
    <t>A2D_PLL_CLK</t>
  </si>
  <si>
    <r>
      <rPr>
        <sz val="11"/>
        <color rgb="FF000000"/>
        <rFont val="宋体"/>
        <charset val="134"/>
      </rPr>
      <t>模拟</t>
    </r>
    <r>
      <rPr>
        <sz val="11"/>
        <color rgb="FF000000"/>
        <rFont val="Times New Roman"/>
        <charset val="134"/>
      </rPr>
      <t xml:space="preserve">PLL </t>
    </r>
    <r>
      <rPr>
        <sz val="11"/>
        <color rgb="FF000000"/>
        <rFont val="宋体"/>
        <charset val="134"/>
      </rPr>
      <t>产生高频时钟，</t>
    </r>
    <r>
      <rPr>
        <sz val="11"/>
        <color rgb="FF000000"/>
        <rFont val="Times New Roman"/>
        <charset val="134"/>
      </rPr>
      <t>PLL</t>
    </r>
    <r>
      <rPr>
        <sz val="11"/>
        <color rgb="FF000000"/>
        <rFont val="宋体"/>
        <charset val="134"/>
      </rPr>
      <t xml:space="preserve">输入参考从 </t>
    </r>
    <r>
      <rPr>
        <sz val="11"/>
        <color rgb="FF000000"/>
        <rFont val="Times New Roman"/>
        <charset val="134"/>
      </rPr>
      <t>HSI</t>
    </r>
    <r>
      <rPr>
        <sz val="11"/>
        <color rgb="FF000000"/>
        <rFont val="宋体"/>
        <charset val="134"/>
      </rPr>
      <t>或</t>
    </r>
    <r>
      <rPr>
        <sz val="11"/>
        <color rgb="FF000000"/>
        <rFont val="Times New Roman"/>
        <charset val="134"/>
      </rPr>
      <t>HSE</t>
    </r>
    <r>
      <rPr>
        <sz val="11"/>
        <color rgb="FF000000"/>
        <rFont val="宋体"/>
        <charset val="134"/>
      </rPr>
      <t>频率来</t>
    </r>
    <r>
      <rPr>
        <sz val="11"/>
        <color rgb="FF000000"/>
        <rFont val="Times New Roman"/>
        <charset val="134"/>
      </rPr>
      <t xml:space="preserve">;  </t>
    </r>
    <r>
      <rPr>
        <sz val="11"/>
        <color rgb="FF000000"/>
        <rFont val="宋体"/>
        <charset val="134"/>
      </rPr>
      <t>支持72/</t>
    </r>
    <r>
      <rPr>
        <sz val="11"/>
        <color rgb="FF000000"/>
        <rFont val="Times New Roman"/>
        <charset val="134"/>
      </rPr>
      <t>80/88/96M</t>
    </r>
    <r>
      <rPr>
        <sz val="11"/>
        <color rgb="FF000000"/>
        <rFont val="宋体"/>
        <charset val="134"/>
      </rPr>
      <t>等</t>
    </r>
    <r>
      <rPr>
        <sz val="11"/>
        <color rgb="FF000000"/>
        <rFont val="Times New Roman"/>
        <charset val="134"/>
      </rPr>
      <t xml:space="preserve">; </t>
    </r>
    <r>
      <rPr>
        <sz val="11"/>
        <color rgb="FF000000"/>
        <rFont val="Times New Roman"/>
        <charset val="134"/>
      </rPr>
      <t>PLL</t>
    </r>
    <r>
      <rPr>
        <sz val="11"/>
        <color rgb="FF000000"/>
        <rFont val="宋体"/>
        <charset val="134"/>
      </rPr>
      <t>输出设置有</t>
    </r>
    <r>
      <rPr>
        <sz val="11"/>
        <color rgb="FF000000"/>
        <rFont val="宋体"/>
        <charset val="134"/>
      </rPr>
      <t>1/2</t>
    </r>
    <r>
      <rPr>
        <sz val="11"/>
        <color rgb="FF000000"/>
        <rFont val="宋体"/>
        <charset val="134"/>
      </rPr>
      <t xml:space="preserve">分频输出;
</t>
    </r>
    <r>
      <rPr>
        <sz val="11"/>
        <color rgb="FFFF0000"/>
        <rFont val="宋体"/>
        <charset val="134"/>
      </rPr>
      <t>默认不开启, 上电后由软件配置开启；</t>
    </r>
  </si>
  <si>
    <t>A2D_LSI_CLK</t>
  </si>
  <si>
    <r>
      <rPr>
        <sz val="11"/>
        <color rgb="FF000000"/>
        <rFont val="Times New Roman"/>
        <charset val="134"/>
      </rPr>
      <t xml:space="preserve">LSI RCO 32KHz output clock;
To digital, Freqency after trimming, typical ~32KHz.
</t>
    </r>
    <r>
      <rPr>
        <sz val="11"/>
        <color rgb="FFFF0000"/>
        <rFont val="宋体"/>
        <charset val="134"/>
      </rPr>
      <t>默认开启输出；</t>
    </r>
  </si>
  <si>
    <t>内部低频时钟，用于休眠下定时等</t>
  </si>
  <si>
    <t>A2D_HSE_CLK</t>
  </si>
  <si>
    <r>
      <rPr>
        <sz val="11"/>
        <color rgb="FF000000"/>
        <rFont val="Times New Roman"/>
        <charset val="134"/>
      </rPr>
      <t xml:space="preserve">HXT XO 16MHz output clock;
To digital, Freqency after trimming, typical 16MHz.
</t>
    </r>
    <r>
      <rPr>
        <sz val="11"/>
        <color rgb="FFFF0000"/>
        <rFont val="宋体"/>
        <charset val="134"/>
      </rPr>
      <t>默认不开启</t>
    </r>
    <r>
      <rPr>
        <sz val="11"/>
        <color rgb="FFFF0000"/>
        <rFont val="Times New Roman"/>
        <charset val="134"/>
      </rPr>
      <t xml:space="preserve">, </t>
    </r>
    <r>
      <rPr>
        <sz val="11"/>
        <color rgb="FFFF0000"/>
        <rFont val="宋体"/>
        <charset val="134"/>
      </rPr>
      <t>根据需要由软件配置开启；</t>
    </r>
  </si>
  <si>
    <r>
      <rPr>
        <sz val="11"/>
        <color rgb="FFFF0000"/>
        <rFont val="宋体"/>
        <charset val="134"/>
      </rPr>
      <t>需要外加</t>
    </r>
    <r>
      <rPr>
        <sz val="11"/>
        <color rgb="FFFF0000"/>
        <rFont val="Times New Roman"/>
        <charset val="134"/>
      </rPr>
      <t xml:space="preserve"> 16MHz </t>
    </r>
    <r>
      <rPr>
        <sz val="11"/>
        <color rgb="FFFF0000"/>
        <rFont val="宋体"/>
        <charset val="134"/>
      </rPr>
      <t>晶体</t>
    </r>
    <r>
      <rPr>
        <sz val="11"/>
        <color rgb="FFFF0000"/>
        <rFont val="Times New Roman"/>
        <charset val="134"/>
      </rPr>
      <t xml:space="preserve"> (</t>
    </r>
    <r>
      <rPr>
        <sz val="11"/>
        <color rgb="FFFF0000"/>
        <rFont val="宋体"/>
        <charset val="134"/>
      </rPr>
      <t>备选项</t>
    </r>
    <r>
      <rPr>
        <sz val="11"/>
        <color rgb="FFFF0000"/>
        <rFont val="Times New Roman"/>
        <charset val="134"/>
      </rPr>
      <t xml:space="preserve">); 
</t>
    </r>
    <r>
      <rPr>
        <sz val="11"/>
        <color rgb="FFFF0000"/>
        <rFont val="宋体"/>
        <charset val="134"/>
      </rPr>
      <t>只有在要求很高精度下才启用。</t>
    </r>
  </si>
  <si>
    <t>A2D_HSI_CLK</t>
  </si>
  <si>
    <r>
      <rPr>
        <sz val="11"/>
        <color rgb="FF000000"/>
        <rFont val="Times New Roman"/>
        <charset val="134"/>
      </rPr>
      <t xml:space="preserve">High-Speed Internal OSC 32MHz output clock;
To digital, Freqency after trimming, typical ~32MHz.
</t>
    </r>
    <r>
      <rPr>
        <sz val="11"/>
        <color rgb="FFFF0000"/>
        <rFont val="宋体"/>
        <charset val="134"/>
      </rPr>
      <t>默认开启输出；</t>
    </r>
  </si>
  <si>
    <r>
      <rPr>
        <sz val="11"/>
        <color rgb="FFFF0000"/>
        <rFont val="宋体"/>
        <charset val="134"/>
      </rPr>
      <t>典型值32</t>
    </r>
    <r>
      <rPr>
        <sz val="11"/>
        <color rgb="FFFF0000"/>
        <rFont val="Times New Roman"/>
        <charset val="134"/>
      </rPr>
      <t xml:space="preserve">MHz, </t>
    </r>
    <r>
      <rPr>
        <sz val="11"/>
        <color rgb="FFFF0000"/>
        <rFont val="宋体"/>
        <charset val="134"/>
      </rPr>
      <t>上电时钟会有偏差，数字默认可以通过2分频后时钟来启动芯片，防止</t>
    </r>
    <r>
      <rPr>
        <sz val="11"/>
        <color rgb="FFFF0000"/>
        <rFont val="Times New Roman"/>
        <charset val="134"/>
      </rPr>
      <t xml:space="preserve">HIS </t>
    </r>
    <r>
      <rPr>
        <sz val="11"/>
        <color rgb="FFFF0000"/>
        <rFont val="宋体"/>
        <charset val="134"/>
      </rPr>
      <t>初始出现很大的频率偏，差导致</t>
    </r>
    <r>
      <rPr>
        <sz val="11"/>
        <color rgb="FFFF0000"/>
        <rFont val="Times New Roman"/>
        <charset val="134"/>
      </rPr>
      <t>MCU</t>
    </r>
    <r>
      <rPr>
        <sz val="11"/>
        <color rgb="FFFF0000"/>
        <rFont val="宋体"/>
        <charset val="134"/>
      </rPr>
      <t>时序问题。上电后，再</t>
    </r>
    <r>
      <rPr>
        <sz val="11"/>
        <color rgb="FFFF0000"/>
        <rFont val="Times New Roman"/>
        <charset val="134"/>
      </rPr>
      <t>load trim</t>
    </r>
    <r>
      <rPr>
        <sz val="11"/>
        <color rgb="FFFF0000"/>
        <rFont val="宋体"/>
        <charset val="134"/>
      </rPr>
      <t>值给</t>
    </r>
    <r>
      <rPr>
        <sz val="11"/>
        <color rgb="FFFF0000"/>
        <rFont val="Times New Roman"/>
        <charset val="134"/>
      </rPr>
      <t>HSI</t>
    </r>
    <r>
      <rPr>
        <sz val="11"/>
        <color rgb="FFFF0000"/>
        <rFont val="宋体"/>
        <charset val="134"/>
      </rPr>
      <t>校准频率</t>
    </r>
    <r>
      <rPr>
        <sz val="11"/>
        <color rgb="FFFF0000"/>
        <rFont val="Times New Roman"/>
        <charset val="134"/>
      </rPr>
      <t xml:space="preserve">; </t>
    </r>
  </si>
  <si>
    <t>ADC</t>
  </si>
  <si>
    <t>A2D_ADC_DATA&lt;11:0&gt;</t>
  </si>
  <si>
    <t xml:space="preserve">ADC Sample Data output:
To digital, 12bits, connect to Registers or ADC controller. </t>
  </si>
  <si>
    <r>
      <rPr>
        <sz val="11"/>
        <color rgb="FFFF0000"/>
        <rFont val="Times New Roman"/>
        <charset val="134"/>
      </rPr>
      <t>ADC</t>
    </r>
    <r>
      <rPr>
        <sz val="11"/>
        <color rgb="FFFF0000"/>
        <rFont val="宋体"/>
        <charset val="134"/>
      </rPr>
      <t>数据</t>
    </r>
    <r>
      <rPr>
        <sz val="11"/>
        <color rgb="FFFF0000"/>
        <rFont val="Times New Roman"/>
        <charset val="134"/>
      </rPr>
      <t xml:space="preserve">12bits, </t>
    </r>
    <r>
      <rPr>
        <sz val="11"/>
        <color rgb="FFFF0000"/>
        <rFont val="宋体"/>
        <charset val="134"/>
      </rPr>
      <t>接到</t>
    </r>
    <r>
      <rPr>
        <sz val="11"/>
        <color rgb="FFFF0000"/>
        <rFont val="Times New Roman"/>
        <charset val="134"/>
      </rPr>
      <t>RO</t>
    </r>
    <r>
      <rPr>
        <sz val="11"/>
        <color rgb="FFFF0000"/>
        <rFont val="宋体"/>
        <charset val="134"/>
      </rPr>
      <t>寄存器方便以后读取</t>
    </r>
    <r>
      <rPr>
        <sz val="11"/>
        <color rgb="FFFF0000"/>
        <rFont val="Times New Roman"/>
        <charset val="134"/>
      </rPr>
      <t xml:space="preserve">; </t>
    </r>
  </si>
  <si>
    <t>A2D_ADC_DLAT</t>
  </si>
  <si>
    <t xml:space="preserve">ADC Data Index Clock output;
To digital, synch with 11bits data, rising edge sampling. </t>
  </si>
  <si>
    <r>
      <rPr>
        <sz val="11"/>
        <color rgb="FFFF0000"/>
        <rFont val="Times New Roman"/>
        <charset val="134"/>
      </rPr>
      <t xml:space="preserve">ADC </t>
    </r>
    <r>
      <rPr>
        <sz val="11"/>
        <color rgb="FFFF0000"/>
        <rFont val="宋体"/>
        <charset val="134"/>
      </rPr>
      <t>数据同步采样信号</t>
    </r>
    <r>
      <rPr>
        <sz val="11"/>
        <color rgb="FFFF0000"/>
        <rFont val="Times New Roman"/>
        <charset val="134"/>
      </rPr>
      <t xml:space="preserve">, </t>
    </r>
    <r>
      <rPr>
        <sz val="11"/>
        <color rgb="FFFF0000"/>
        <rFont val="宋体"/>
        <charset val="134"/>
      </rPr>
      <t>用</t>
    </r>
    <r>
      <rPr>
        <sz val="11"/>
        <color rgb="FFFF0000"/>
        <rFont val="Times New Roman"/>
        <charset val="134"/>
      </rPr>
      <t>DLAT</t>
    </r>
    <r>
      <rPr>
        <sz val="11"/>
        <color rgb="FFFF0000"/>
        <rFont val="宋体"/>
        <charset val="134"/>
      </rPr>
      <t>的上升沿采样数据</t>
    </r>
    <r>
      <rPr>
        <sz val="11"/>
        <color rgb="FFFF0000"/>
        <rFont val="Times New Roman"/>
        <charset val="134"/>
      </rPr>
      <t xml:space="preserve">; </t>
    </r>
  </si>
  <si>
    <t>A2D_ADC_CONV</t>
  </si>
  <si>
    <t xml:space="preserve">ADC Conversion process Index;
To digital, HIGH level means ADC's Conversion period. </t>
  </si>
  <si>
    <r>
      <rPr>
        <sz val="11"/>
        <color rgb="FFFF0000"/>
        <rFont val="Times New Roman"/>
        <charset val="134"/>
      </rPr>
      <t xml:space="preserve">ADC </t>
    </r>
    <r>
      <rPr>
        <sz val="11"/>
        <color rgb="FFFF0000"/>
        <rFont val="宋体"/>
        <charset val="134"/>
      </rPr>
      <t>转化过程指示信号</t>
    </r>
    <r>
      <rPr>
        <sz val="11"/>
        <color rgb="FFFF0000"/>
        <rFont val="Times New Roman"/>
        <charset val="134"/>
      </rPr>
      <t xml:space="preserve">, </t>
    </r>
    <r>
      <rPr>
        <sz val="11"/>
        <color rgb="FFFF0000"/>
        <rFont val="宋体"/>
        <charset val="134"/>
      </rPr>
      <t>高电平指示在转化。可以</t>
    </r>
    <r>
      <rPr>
        <sz val="11"/>
        <color rgb="FFFF0000"/>
        <rFont val="宋体"/>
        <charset val="134"/>
      </rPr>
      <t>用</t>
    </r>
    <r>
      <rPr>
        <sz val="11"/>
        <color rgb="FFFF0000"/>
        <rFont val="Times New Roman"/>
        <charset val="134"/>
      </rPr>
      <t>CONV</t>
    </r>
    <r>
      <rPr>
        <sz val="11"/>
        <color rgb="FFFF0000"/>
        <rFont val="宋体"/>
        <charset val="134"/>
      </rPr>
      <t>的上升沿来指示采样结束，可以切换输入的</t>
    </r>
    <r>
      <rPr>
        <sz val="11"/>
        <color rgb="FFFF0000"/>
        <rFont val="Times New Roman"/>
        <charset val="134"/>
      </rPr>
      <t>MUX</t>
    </r>
    <r>
      <rPr>
        <sz val="11"/>
        <color rgb="FFFF0000"/>
        <rFont val="宋体"/>
        <charset val="134"/>
      </rPr>
      <t>信号</t>
    </r>
    <r>
      <rPr>
        <sz val="11"/>
        <color rgb="FFFF0000"/>
        <rFont val="Times New Roman"/>
        <charset val="134"/>
      </rPr>
      <t xml:space="preserve">; </t>
    </r>
  </si>
  <si>
    <t>A2D_ADC_SAMP</t>
  </si>
  <si>
    <t xml:space="preserve">ADC Sampling process Index;
To digital, HIGH level means ADC's Sampling period. </t>
  </si>
  <si>
    <r>
      <rPr>
        <sz val="11"/>
        <color rgb="FFFF0000"/>
        <rFont val="Times New Roman"/>
        <charset val="134"/>
      </rPr>
      <t xml:space="preserve">ADC </t>
    </r>
    <r>
      <rPr>
        <sz val="11"/>
        <color rgb="FFFF0000"/>
        <rFont val="宋体"/>
        <charset val="134"/>
      </rPr>
      <t>采样过程指示信号</t>
    </r>
    <r>
      <rPr>
        <sz val="11"/>
        <color rgb="FFFF0000"/>
        <rFont val="Times New Roman"/>
        <charset val="134"/>
      </rPr>
      <t xml:space="preserve">, </t>
    </r>
    <r>
      <rPr>
        <sz val="11"/>
        <color rgb="FFFF0000"/>
        <rFont val="宋体"/>
        <charset val="134"/>
      </rPr>
      <t>高电平指示在采样。可以</t>
    </r>
    <r>
      <rPr>
        <sz val="11"/>
        <color rgb="FFFF0000"/>
        <rFont val="宋体"/>
        <charset val="134"/>
      </rPr>
      <t>用</t>
    </r>
    <r>
      <rPr>
        <sz val="11"/>
        <color rgb="FFFF0000"/>
        <rFont val="Times New Roman"/>
        <charset val="134"/>
      </rPr>
      <t>samp</t>
    </r>
    <r>
      <rPr>
        <sz val="11"/>
        <color rgb="FFFF0000"/>
        <rFont val="宋体"/>
        <charset val="134"/>
      </rPr>
      <t>的下降沿来指示采样结束，可以切换输入的</t>
    </r>
    <r>
      <rPr>
        <sz val="11"/>
        <color rgb="FFFF0000"/>
        <rFont val="Times New Roman"/>
        <charset val="134"/>
      </rPr>
      <t>MUX</t>
    </r>
    <r>
      <rPr>
        <sz val="11"/>
        <color rgb="FFFF0000"/>
        <rFont val="宋体"/>
        <charset val="134"/>
      </rPr>
      <t>信号</t>
    </r>
    <r>
      <rPr>
        <sz val="11"/>
        <color rgb="FFFF0000"/>
        <rFont val="Times New Roman"/>
        <charset val="134"/>
      </rPr>
      <t xml:space="preserve">; </t>
    </r>
  </si>
  <si>
    <t>TEST</t>
  </si>
  <si>
    <t>A2D_DTP_MUX</t>
  </si>
  <si>
    <r>
      <rPr>
        <sz val="11"/>
        <color rgb="FF000000"/>
        <rFont val="宋体"/>
        <charset val="134"/>
      </rPr>
      <t>模拟内部</t>
    </r>
    <r>
      <rPr>
        <sz val="11"/>
        <color rgb="FF000000"/>
        <rFont val="Times New Roman"/>
        <charset val="134"/>
      </rPr>
      <t xml:space="preserve">, </t>
    </r>
    <r>
      <rPr>
        <sz val="11"/>
        <color rgb="FF000000"/>
        <rFont val="宋体"/>
        <charset val="134"/>
      </rPr>
      <t>数字测试信号</t>
    </r>
    <r>
      <rPr>
        <sz val="11"/>
        <color rgb="FF000000"/>
        <rFont val="Times New Roman"/>
        <charset val="134"/>
      </rPr>
      <t xml:space="preserve"> (DTP) </t>
    </r>
    <r>
      <rPr>
        <sz val="11"/>
        <color rgb="FF000000"/>
        <rFont val="宋体"/>
        <charset val="134"/>
      </rPr>
      <t>接出</t>
    </r>
    <r>
      <rPr>
        <sz val="11"/>
        <color rgb="FF000000"/>
        <rFont val="Times New Roman"/>
        <charset val="134"/>
      </rPr>
      <t xml:space="preserve">, </t>
    </r>
    <r>
      <rPr>
        <sz val="11"/>
        <color rgb="FF000000"/>
        <rFont val="宋体"/>
        <charset val="134"/>
      </rPr>
      <t>用于外部测试用</t>
    </r>
    <r>
      <rPr>
        <sz val="11"/>
        <color rgb="FF000000"/>
        <rFont val="Times New Roman"/>
        <charset val="134"/>
      </rPr>
      <t xml:space="preserve">. </t>
    </r>
    <r>
      <rPr>
        <sz val="11"/>
        <color rgb="FF000000"/>
        <rFont val="宋体"/>
        <charset val="134"/>
      </rPr>
      <t>该信号通过</t>
    </r>
    <r>
      <rPr>
        <sz val="11"/>
        <color rgb="FF000000"/>
        <rFont val="Times New Roman"/>
        <charset val="134"/>
      </rPr>
      <t xml:space="preserve"> MUX </t>
    </r>
    <r>
      <rPr>
        <sz val="11"/>
        <color rgb="FF000000"/>
        <rFont val="宋体"/>
        <charset val="134"/>
      </rPr>
      <t>接到</t>
    </r>
    <r>
      <rPr>
        <sz val="11"/>
        <color rgb="FF000000"/>
        <rFont val="Times New Roman"/>
        <charset val="134"/>
      </rPr>
      <t xml:space="preserve"> GPIO</t>
    </r>
    <r>
      <rPr>
        <sz val="11"/>
        <color rgb="FF000000"/>
        <rFont val="宋体"/>
        <charset val="134"/>
      </rPr>
      <t>端口</t>
    </r>
    <r>
      <rPr>
        <sz val="11"/>
        <color rgb="FF000000"/>
        <rFont val="Times New Roman"/>
        <charset val="134"/>
      </rPr>
      <t xml:space="preserve">; </t>
    </r>
  </si>
  <si>
    <t>A2D/D2A Summary</t>
  </si>
  <si>
    <r>
      <rPr>
        <b/>
        <sz val="11"/>
        <color rgb="FF000000"/>
        <rFont val="Times New Roman"/>
        <charset val="134"/>
      </rPr>
      <t xml:space="preserve">IR_* </t>
    </r>
    <r>
      <rPr>
        <b/>
        <sz val="11"/>
        <color rgb="FF000000"/>
        <rFont val="宋体"/>
        <charset val="134"/>
      </rPr>
      <t>接口信号</t>
    </r>
    <r>
      <rPr>
        <b/>
        <sz val="11"/>
        <color rgb="FF000000"/>
        <rFont val="Times New Roman"/>
        <charset val="134"/>
      </rPr>
      <t>(IR: Interupt &amp; Read only)</t>
    </r>
  </si>
  <si>
    <t>CSA</t>
  </si>
  <si>
    <t>IR_CSA_OC_NG</t>
  </si>
  <si>
    <r>
      <rPr>
        <sz val="11"/>
        <color rgb="FF000000"/>
        <rFont val="Times New Roman"/>
        <charset val="134"/>
      </rPr>
      <t>Current Sense Amplifier Over-Curent  (OC) (</t>
    </r>
    <r>
      <rPr>
        <sz val="11"/>
        <color rgb="FF000000"/>
        <rFont val="宋体"/>
        <charset val="134"/>
      </rPr>
      <t>过流报警</t>
    </r>
    <r>
      <rPr>
        <sz val="11"/>
        <color rgb="FF000000"/>
        <rFont val="Times New Roman"/>
        <charset val="134"/>
      </rPr>
      <t>) Index Signal. 
When CSA &lt; OC_VTH, CSA_OC=0 (</t>
    </r>
    <r>
      <rPr>
        <sz val="11"/>
        <color rgb="FF000000"/>
        <rFont val="宋体"/>
        <charset val="134"/>
      </rPr>
      <t>正常</t>
    </r>
    <r>
      <rPr>
        <sz val="11"/>
        <color rgb="FF000000"/>
        <rFont val="Times New Roman"/>
        <charset val="134"/>
      </rPr>
      <t>); 
When CSA &gt; OC_VTH, CSA_OC=1 (</t>
    </r>
    <r>
      <rPr>
        <sz val="11"/>
        <color rgb="FF000000"/>
        <rFont val="宋体"/>
        <charset val="134"/>
      </rPr>
      <t>过流</t>
    </r>
    <r>
      <rPr>
        <sz val="11"/>
        <color rgb="FF000000"/>
        <rFont val="Times New Roman"/>
        <charset val="134"/>
      </rPr>
      <t xml:space="preserve">); 
</t>
    </r>
    <r>
      <rPr>
        <sz val="11"/>
        <color rgb="FFFF0000"/>
        <rFont val="Times New Roman"/>
        <charset val="134"/>
      </rPr>
      <t xml:space="preserve">(*_NG </t>
    </r>
    <r>
      <rPr>
        <sz val="11"/>
        <color rgb="FFFF0000"/>
        <rFont val="宋体"/>
        <charset val="134"/>
      </rPr>
      <t>信号只有消抖但不锁存</t>
    </r>
    <r>
      <rPr>
        <sz val="11"/>
        <color rgb="FFFF0000"/>
        <rFont val="Times New Roman"/>
        <charset val="134"/>
      </rPr>
      <t xml:space="preserve">, </t>
    </r>
    <r>
      <rPr>
        <sz val="11"/>
        <color rgb="FFFF0000"/>
        <rFont val="宋体"/>
        <charset val="134"/>
      </rPr>
      <t>跟随</t>
    </r>
    <r>
      <rPr>
        <sz val="11"/>
        <color rgb="FFFF0000"/>
        <rFont val="Times New Roman"/>
        <charset val="134"/>
      </rPr>
      <t>CS</t>
    </r>
    <r>
      <rPr>
        <sz val="11"/>
        <color rgb="FFFF0000"/>
        <rFont val="宋体"/>
        <charset val="134"/>
      </rPr>
      <t>变化</t>
    </r>
    <r>
      <rPr>
        <sz val="11"/>
        <color rgb="FFFF0000"/>
        <rFont val="Times New Roman"/>
        <charset val="134"/>
      </rPr>
      <t>)</t>
    </r>
  </si>
  <si>
    <r>
      <rPr>
        <sz val="11"/>
        <color rgb="FF000000"/>
        <rFont val="Times New Roman"/>
        <charset val="134"/>
      </rPr>
      <t>0-&gt;1</t>
    </r>
    <r>
      <rPr>
        <sz val="11"/>
        <color rgb="FF000000"/>
        <rFont val="宋体"/>
        <charset val="134"/>
      </rPr>
      <t xml:space="preserve">触发报警,1-&gt;0警报消除; 
</t>
    </r>
    <r>
      <rPr>
        <sz val="11"/>
        <color rgb="FF000000"/>
        <rFont val="宋体"/>
        <charset val="134"/>
      </rPr>
      <t>需要可读且触发中断;</t>
    </r>
  </si>
  <si>
    <r>
      <rPr>
        <sz val="11"/>
        <color rgb="FFFF0000"/>
        <rFont val="宋体"/>
        <charset val="134"/>
      </rPr>
      <t>等级</t>
    </r>
    <r>
      <rPr>
        <sz val="11"/>
        <color rgb="FFFF0000"/>
        <rFont val="Times New Roman"/>
        <charset val="134"/>
      </rPr>
      <t>1</t>
    </r>
  </si>
  <si>
    <t>TJ</t>
  </si>
  <si>
    <t>IR_TJ_OTS_NG</t>
  </si>
  <si>
    <r>
      <rPr>
        <sz val="11"/>
        <color rgb="FF000000"/>
        <rFont val="Times New Roman"/>
        <charset val="134"/>
      </rPr>
      <t>TJ Over Temp Shutdown (OTS) Protect (e.g. 140C)  index signal. 
When die temp &gt;140C, TJ_OTS=1 (</t>
    </r>
    <r>
      <rPr>
        <sz val="11"/>
        <color rgb="FF000000"/>
        <rFont val="宋体"/>
        <charset val="134"/>
      </rPr>
      <t>过温</t>
    </r>
    <r>
      <rPr>
        <sz val="11"/>
        <color rgb="FF000000"/>
        <rFont val="Times New Roman"/>
        <charset val="134"/>
      </rPr>
      <t>);
When die temp &lt;140C, TJ_OTS=0 (</t>
    </r>
    <r>
      <rPr>
        <sz val="11"/>
        <color rgb="FF000000"/>
        <rFont val="宋体"/>
        <charset val="134"/>
      </rPr>
      <t>正常</t>
    </r>
    <r>
      <rPr>
        <sz val="11"/>
        <color rgb="FF000000"/>
        <rFont val="Times New Roman"/>
        <charset val="134"/>
      </rPr>
      <t xml:space="preserve">);
</t>
    </r>
    <r>
      <rPr>
        <sz val="11"/>
        <color rgb="FFFF0000"/>
        <rFont val="Times New Roman"/>
        <charset val="134"/>
      </rPr>
      <t xml:space="preserve">(*_NG </t>
    </r>
    <r>
      <rPr>
        <sz val="11"/>
        <color rgb="FFFF0000"/>
        <rFont val="宋体"/>
        <charset val="134"/>
      </rPr>
      <t>信号只有消抖但不锁存</t>
    </r>
    <r>
      <rPr>
        <sz val="11"/>
        <color rgb="FFFF0000"/>
        <rFont val="Times New Roman"/>
        <charset val="134"/>
      </rPr>
      <t xml:space="preserve">, </t>
    </r>
    <r>
      <rPr>
        <sz val="11"/>
        <color rgb="FFFF0000"/>
        <rFont val="宋体"/>
        <charset val="134"/>
      </rPr>
      <t>跟随</t>
    </r>
    <r>
      <rPr>
        <sz val="11"/>
        <color rgb="FFFF0000"/>
        <rFont val="Times New Roman"/>
        <charset val="134"/>
      </rPr>
      <t>TJ</t>
    </r>
    <r>
      <rPr>
        <sz val="11"/>
        <color rgb="FFFF0000"/>
        <rFont val="宋体"/>
        <charset val="134"/>
      </rPr>
      <t>变化</t>
    </r>
    <r>
      <rPr>
        <sz val="11"/>
        <color rgb="FFFF0000"/>
        <rFont val="Times New Roman"/>
        <charset val="134"/>
      </rPr>
      <t>)</t>
    </r>
  </si>
  <si>
    <t>IR_TJ_OTW_NG</t>
  </si>
  <si>
    <r>
      <rPr>
        <sz val="11"/>
        <color rgb="FF000000"/>
        <rFont val="Times New Roman"/>
        <charset val="134"/>
      </rPr>
      <t>TJ Over Temp Warning (OTW) Protect (e.g. 120C)  index signal. 
When die temp &gt;120C, TJ_OTW=1 (</t>
    </r>
    <r>
      <rPr>
        <sz val="11"/>
        <color rgb="FF000000"/>
        <rFont val="宋体"/>
        <charset val="134"/>
      </rPr>
      <t>高温</t>
    </r>
    <r>
      <rPr>
        <sz val="11"/>
        <color rgb="FF000000"/>
        <rFont val="Times New Roman"/>
        <charset val="134"/>
      </rPr>
      <t>);
When die temp &lt;120C, TJ_OTW=0 (</t>
    </r>
    <r>
      <rPr>
        <sz val="11"/>
        <color rgb="FF000000"/>
        <rFont val="宋体"/>
        <charset val="134"/>
      </rPr>
      <t>正常</t>
    </r>
    <r>
      <rPr>
        <sz val="11"/>
        <color rgb="FF000000"/>
        <rFont val="Times New Roman"/>
        <charset val="134"/>
      </rPr>
      <t xml:space="preserve">);
</t>
    </r>
    <r>
      <rPr>
        <sz val="11"/>
        <color rgb="FFFF0000"/>
        <rFont val="Times New Roman"/>
        <charset val="134"/>
      </rPr>
      <t xml:space="preserve">(*_NG </t>
    </r>
    <r>
      <rPr>
        <sz val="11"/>
        <color rgb="FFFF0000"/>
        <rFont val="宋体"/>
        <charset val="134"/>
      </rPr>
      <t>信号只有消抖但不锁存</t>
    </r>
    <r>
      <rPr>
        <sz val="11"/>
        <color rgb="FFFF0000"/>
        <rFont val="Times New Roman"/>
        <charset val="134"/>
      </rPr>
      <t xml:space="preserve">, </t>
    </r>
    <r>
      <rPr>
        <sz val="11"/>
        <color rgb="FFFF0000"/>
        <rFont val="宋体"/>
        <charset val="134"/>
      </rPr>
      <t>跟随</t>
    </r>
    <r>
      <rPr>
        <sz val="11"/>
        <color rgb="FFFF0000"/>
        <rFont val="Times New Roman"/>
        <charset val="134"/>
      </rPr>
      <t>TJ</t>
    </r>
    <r>
      <rPr>
        <sz val="11"/>
        <color rgb="FFFF0000"/>
        <rFont val="宋体"/>
        <charset val="134"/>
      </rPr>
      <t>变化</t>
    </r>
    <r>
      <rPr>
        <sz val="11"/>
        <color rgb="FFFF0000"/>
        <rFont val="Times New Roman"/>
        <charset val="134"/>
      </rPr>
      <t>)</t>
    </r>
  </si>
  <si>
    <r>
      <rPr>
        <sz val="11"/>
        <color rgb="FF000000"/>
        <rFont val="宋体"/>
        <charset val="134"/>
      </rPr>
      <t>等级</t>
    </r>
    <r>
      <rPr>
        <sz val="11"/>
        <color rgb="FF000000"/>
        <rFont val="Times New Roman"/>
        <charset val="134"/>
      </rPr>
      <t>2</t>
    </r>
  </si>
  <si>
    <t>VDD33</t>
  </si>
  <si>
    <t>IR_VDD33_BOR_NG</t>
  </si>
  <si>
    <r>
      <rPr>
        <sz val="11"/>
        <color rgb="FF000000"/>
        <rFont val="Times New Roman"/>
        <charset val="134"/>
      </rPr>
      <t>VDD33 Brown-Out Reset (BOR) detect index signal:
when VDD33 &lt; BOR_VTH, VDD33_BOR=1 (</t>
    </r>
    <r>
      <rPr>
        <sz val="11"/>
        <color rgb="FF000000"/>
        <rFont val="宋体"/>
        <charset val="134"/>
      </rPr>
      <t>掉电</t>
    </r>
    <r>
      <rPr>
        <sz val="11"/>
        <color rgb="FF000000"/>
        <rFont val="Times New Roman"/>
        <charset val="134"/>
      </rPr>
      <t>);
when VDD33 &gt; BOR_VTH, VDD33_BOR=0 (</t>
    </r>
    <r>
      <rPr>
        <sz val="11"/>
        <color rgb="FF000000"/>
        <rFont val="宋体"/>
        <charset val="134"/>
      </rPr>
      <t>正常</t>
    </r>
    <r>
      <rPr>
        <sz val="11"/>
        <color rgb="FF000000"/>
        <rFont val="Times New Roman"/>
        <charset val="134"/>
      </rPr>
      <t xml:space="preserve">);
</t>
    </r>
    <r>
      <rPr>
        <sz val="11"/>
        <color rgb="FFFF0000"/>
        <rFont val="Times New Roman"/>
        <charset val="134"/>
      </rPr>
      <t xml:space="preserve">(*_NG </t>
    </r>
    <r>
      <rPr>
        <sz val="11"/>
        <color rgb="FFFF0000"/>
        <rFont val="宋体"/>
        <charset val="134"/>
      </rPr>
      <t>信号只有消抖但不锁存</t>
    </r>
    <r>
      <rPr>
        <sz val="11"/>
        <color rgb="FFFF0000"/>
        <rFont val="Times New Roman"/>
        <charset val="134"/>
      </rPr>
      <t xml:space="preserve">, </t>
    </r>
    <r>
      <rPr>
        <sz val="11"/>
        <color rgb="FFFF0000"/>
        <rFont val="宋体"/>
        <charset val="134"/>
      </rPr>
      <t>跟随</t>
    </r>
    <r>
      <rPr>
        <sz val="11"/>
        <color rgb="FFFF0000"/>
        <rFont val="Times New Roman"/>
        <charset val="134"/>
      </rPr>
      <t>VDD33</t>
    </r>
    <r>
      <rPr>
        <sz val="11"/>
        <color rgb="FFFF0000"/>
        <rFont val="宋体"/>
        <charset val="134"/>
      </rPr>
      <t>变化</t>
    </r>
    <r>
      <rPr>
        <sz val="11"/>
        <color rgb="FFFF0000"/>
        <rFont val="Times New Roman"/>
        <charset val="134"/>
      </rPr>
      <t>)</t>
    </r>
  </si>
  <si>
    <t>IR_VDD33_PVD_NG</t>
  </si>
  <si>
    <r>
      <rPr>
        <sz val="11"/>
        <color rgb="FF000000"/>
        <rFont val="Times New Roman"/>
        <charset val="134"/>
      </rPr>
      <t>VDD33 Power Voltage Detector (PVD) detect index signal:
when VDD33 &lt; PVD_VTH, VDD33_PVD=1 (</t>
    </r>
    <r>
      <rPr>
        <sz val="11"/>
        <color rgb="FF000000"/>
        <rFont val="宋体"/>
        <charset val="134"/>
      </rPr>
      <t>掉电</t>
    </r>
    <r>
      <rPr>
        <sz val="11"/>
        <color rgb="FF000000"/>
        <rFont val="Times New Roman"/>
        <charset val="134"/>
      </rPr>
      <t>);
when VDD33 &gt; PVD_VTH, VDD33_PVD=0 (</t>
    </r>
    <r>
      <rPr>
        <sz val="11"/>
        <color rgb="FF000000"/>
        <rFont val="宋体"/>
        <charset val="134"/>
      </rPr>
      <t>正常</t>
    </r>
    <r>
      <rPr>
        <sz val="11"/>
        <color rgb="FF000000"/>
        <rFont val="Times New Roman"/>
        <charset val="134"/>
      </rPr>
      <t xml:space="preserve">);
</t>
    </r>
    <r>
      <rPr>
        <sz val="11"/>
        <color rgb="FFFF0000"/>
        <rFont val="Times New Roman"/>
        <charset val="134"/>
      </rPr>
      <t xml:space="preserve">(*_NG </t>
    </r>
    <r>
      <rPr>
        <sz val="11"/>
        <color rgb="FFFF0000"/>
        <rFont val="宋体"/>
        <charset val="134"/>
      </rPr>
      <t>信号只有消抖但不锁存</t>
    </r>
    <r>
      <rPr>
        <sz val="11"/>
        <color rgb="FFFF0000"/>
        <rFont val="Times New Roman"/>
        <charset val="134"/>
      </rPr>
      <t xml:space="preserve">, </t>
    </r>
    <r>
      <rPr>
        <sz val="11"/>
        <color rgb="FFFF0000"/>
        <rFont val="宋体"/>
        <charset val="134"/>
      </rPr>
      <t>跟随VDD50变化</t>
    </r>
    <r>
      <rPr>
        <sz val="11"/>
        <color rgb="FFFF0000"/>
        <rFont val="Times New Roman"/>
        <charset val="134"/>
      </rPr>
      <t>)</t>
    </r>
  </si>
  <si>
    <t>IR Summary</t>
  </si>
  <si>
    <r>
      <rPr>
        <b/>
        <sz val="11"/>
        <color rgb="FF000000"/>
        <rFont val="Times New Roman"/>
        <charset val="134"/>
      </rPr>
      <t xml:space="preserve">RO_* </t>
    </r>
    <r>
      <rPr>
        <b/>
        <sz val="11"/>
        <color rgb="FF000000"/>
        <rFont val="宋体"/>
        <charset val="134"/>
      </rPr>
      <t>接口信号</t>
    </r>
    <r>
      <rPr>
        <b/>
        <sz val="11"/>
        <color rgb="FF000000"/>
        <rFont val="Times New Roman"/>
        <charset val="134"/>
      </rPr>
      <t>(RO: Read only)</t>
    </r>
  </si>
  <si>
    <t>RO_CSA_OC_LAT</t>
  </si>
  <si>
    <r>
      <rPr>
        <sz val="11"/>
        <color rgb="FF000000"/>
        <rFont val="Times New Roman"/>
        <charset val="134"/>
      </rPr>
      <t>Current Sense Amplifier Over-Curent  (OC) (</t>
    </r>
    <r>
      <rPr>
        <sz val="11"/>
        <color rgb="FF000000"/>
        <rFont val="宋体"/>
        <charset val="134"/>
      </rPr>
      <t>过流报警</t>
    </r>
    <r>
      <rPr>
        <sz val="11"/>
        <color rgb="FF000000"/>
        <rFont val="Times New Roman"/>
        <charset val="134"/>
      </rPr>
      <t>) Index Signal. 
When CSA &lt; OC_VTH, CSA_OC=0 (</t>
    </r>
    <r>
      <rPr>
        <sz val="11"/>
        <color rgb="FF000000"/>
        <rFont val="宋体"/>
        <charset val="134"/>
      </rPr>
      <t>正常</t>
    </r>
    <r>
      <rPr>
        <sz val="11"/>
        <color rgb="FF000000"/>
        <rFont val="Times New Roman"/>
        <charset val="134"/>
      </rPr>
      <t>); 
When CSA &gt; OC_VTH, CSA_OC=1 (</t>
    </r>
    <r>
      <rPr>
        <sz val="11"/>
        <color rgb="FF000000"/>
        <rFont val="宋体"/>
        <charset val="134"/>
      </rPr>
      <t>过流</t>
    </r>
    <r>
      <rPr>
        <sz val="11"/>
        <color rgb="FF000000"/>
        <rFont val="Times New Roman"/>
        <charset val="134"/>
      </rPr>
      <t xml:space="preserve">); 
</t>
    </r>
    <r>
      <rPr>
        <sz val="11"/>
        <color rgb="FFFF0000"/>
        <rFont val="Times New Roman"/>
        <charset val="134"/>
      </rPr>
      <t xml:space="preserve">(*_LAT </t>
    </r>
    <r>
      <rPr>
        <sz val="11"/>
        <color rgb="FFFF0000"/>
        <rFont val="宋体"/>
        <charset val="134"/>
      </rPr>
      <t>信号有消抖同时锁存</t>
    </r>
    <r>
      <rPr>
        <sz val="11"/>
        <color rgb="FFFF0000"/>
        <rFont val="Times New Roman"/>
        <charset val="134"/>
      </rPr>
      <t xml:space="preserve">, </t>
    </r>
    <r>
      <rPr>
        <sz val="11"/>
        <color rgb="FFFF0000"/>
        <rFont val="宋体"/>
        <charset val="134"/>
      </rPr>
      <t>要求软件解锁释放状态</t>
    </r>
    <r>
      <rPr>
        <sz val="11"/>
        <color rgb="FFFF0000"/>
        <rFont val="Times New Roman"/>
        <charset val="134"/>
      </rPr>
      <t>)</t>
    </r>
  </si>
  <si>
    <r>
      <rPr>
        <sz val="11"/>
        <color rgb="FFFF0000"/>
        <rFont val="宋体"/>
        <charset val="134"/>
      </rPr>
      <t>锁存信号,需要可读,用来记录触发</t>
    </r>
    <r>
      <rPr>
        <sz val="11"/>
        <color rgb="FFFF0000"/>
        <rFont val="Times New Roman"/>
        <charset val="134"/>
      </rPr>
      <t>;</t>
    </r>
  </si>
  <si>
    <t>RO_TJ_OTS_LAT</t>
  </si>
  <si>
    <r>
      <rPr>
        <sz val="11"/>
        <color rgb="FF000000"/>
        <rFont val="Times New Roman"/>
        <charset val="134"/>
      </rPr>
      <t xml:space="preserve">TJ Over Temp Shutdown (OTS) Protect (e.g. 140C)  index signal. 
When die temp &gt;140C, TJ_OTS=1 (Latch); 
When die temp &lt;140C, TJ_OTS=0;
</t>
    </r>
    <r>
      <rPr>
        <sz val="11"/>
        <color rgb="FFFF0000"/>
        <rFont val="Times New Roman"/>
        <charset val="134"/>
      </rPr>
      <t xml:space="preserve">(*_LAT </t>
    </r>
    <r>
      <rPr>
        <sz val="11"/>
        <color rgb="FFFF0000"/>
        <rFont val="宋体"/>
        <charset val="134"/>
      </rPr>
      <t>信号有消抖同时锁存</t>
    </r>
    <r>
      <rPr>
        <sz val="11"/>
        <color rgb="FFFF0000"/>
        <rFont val="Times New Roman"/>
        <charset val="134"/>
      </rPr>
      <t xml:space="preserve">, </t>
    </r>
    <r>
      <rPr>
        <sz val="11"/>
        <color rgb="FFFF0000"/>
        <rFont val="宋体"/>
        <charset val="134"/>
      </rPr>
      <t>要求软件解锁释放状态</t>
    </r>
    <r>
      <rPr>
        <sz val="11"/>
        <color rgb="FFFF0000"/>
        <rFont val="Times New Roman"/>
        <charset val="134"/>
      </rPr>
      <t>)</t>
    </r>
  </si>
  <si>
    <t>RO_TJ_OTW_LAT</t>
  </si>
  <si>
    <r>
      <rPr>
        <sz val="11"/>
        <color rgb="FF000000"/>
        <rFont val="Times New Roman"/>
        <charset val="134"/>
      </rPr>
      <t>TJ Over Temp Warning (OTW) Protect (e.g. 120C)  index signal. 
When die temp &gt;120C, TJ_OTW=1 (</t>
    </r>
    <r>
      <rPr>
        <sz val="11"/>
        <color rgb="FF000000"/>
        <rFont val="宋体"/>
        <charset val="134"/>
      </rPr>
      <t>高温</t>
    </r>
    <r>
      <rPr>
        <sz val="11"/>
        <color rgb="FF000000"/>
        <rFont val="Times New Roman"/>
        <charset val="134"/>
      </rPr>
      <t>);
When die temp &lt;120C, TJ_OTW=0 (</t>
    </r>
    <r>
      <rPr>
        <sz val="11"/>
        <color rgb="FF000000"/>
        <rFont val="宋体"/>
        <charset val="134"/>
      </rPr>
      <t>正常</t>
    </r>
    <r>
      <rPr>
        <sz val="11"/>
        <color rgb="FF000000"/>
        <rFont val="Times New Roman"/>
        <charset val="134"/>
      </rPr>
      <t xml:space="preserve">);
</t>
    </r>
    <r>
      <rPr>
        <sz val="11"/>
        <color rgb="FFFF0000"/>
        <rFont val="Times New Roman"/>
        <charset val="134"/>
      </rPr>
      <t xml:space="preserve">(*_LAT </t>
    </r>
    <r>
      <rPr>
        <sz val="11"/>
        <color rgb="FFFF0000"/>
        <rFont val="宋体"/>
        <charset val="134"/>
      </rPr>
      <t>信号有消抖同时锁存</t>
    </r>
    <r>
      <rPr>
        <sz val="11"/>
        <color rgb="FFFF0000"/>
        <rFont val="Times New Roman"/>
        <charset val="134"/>
      </rPr>
      <t xml:space="preserve">, </t>
    </r>
    <r>
      <rPr>
        <sz val="11"/>
        <color rgb="FFFF0000"/>
        <rFont val="宋体"/>
        <charset val="134"/>
      </rPr>
      <t>要求软件解锁释放状态</t>
    </r>
    <r>
      <rPr>
        <sz val="11"/>
        <color rgb="FFFF0000"/>
        <rFont val="Times New Roman"/>
        <charset val="134"/>
      </rPr>
      <t>)</t>
    </r>
  </si>
  <si>
    <t>RO_VDD33_BOR_LAT</t>
  </si>
  <si>
    <r>
      <rPr>
        <sz val="11"/>
        <color rgb="FF000000"/>
        <rFont val="Times New Roman"/>
        <charset val="134"/>
      </rPr>
      <t>VDD33 Brown-Out Reset (BOR) detect index signal:
when VDD33 &lt; BOR_VTH, VDD33_BOR=1 (</t>
    </r>
    <r>
      <rPr>
        <sz val="11"/>
        <color rgb="FF000000"/>
        <rFont val="宋体"/>
        <charset val="134"/>
      </rPr>
      <t>掉电</t>
    </r>
    <r>
      <rPr>
        <sz val="11"/>
        <color rgb="FF000000"/>
        <rFont val="Times New Roman"/>
        <charset val="134"/>
      </rPr>
      <t>);
when VDD33 &gt; BOR_VTH, VDD33_BOR=0 (</t>
    </r>
    <r>
      <rPr>
        <sz val="11"/>
        <color rgb="FF000000"/>
        <rFont val="宋体"/>
        <charset val="134"/>
      </rPr>
      <t>正常</t>
    </r>
    <r>
      <rPr>
        <sz val="11"/>
        <color rgb="FF000000"/>
        <rFont val="Times New Roman"/>
        <charset val="134"/>
      </rPr>
      <t xml:space="preserve">);
</t>
    </r>
    <r>
      <rPr>
        <sz val="11"/>
        <color rgb="FFFF0000"/>
        <rFont val="Times New Roman"/>
        <charset val="134"/>
      </rPr>
      <t xml:space="preserve">(*_LAT </t>
    </r>
    <r>
      <rPr>
        <sz val="11"/>
        <color rgb="FFFF0000"/>
        <rFont val="宋体"/>
        <charset val="134"/>
      </rPr>
      <t>信号有消抖同时锁存</t>
    </r>
    <r>
      <rPr>
        <sz val="11"/>
        <color rgb="FFFF0000"/>
        <rFont val="Times New Roman"/>
        <charset val="134"/>
      </rPr>
      <t xml:space="preserve">, </t>
    </r>
    <r>
      <rPr>
        <sz val="11"/>
        <color rgb="FFFF0000"/>
        <rFont val="宋体"/>
        <charset val="134"/>
      </rPr>
      <t>要求软件解锁释放状态</t>
    </r>
    <r>
      <rPr>
        <sz val="11"/>
        <color rgb="FFFF0000"/>
        <rFont val="Times New Roman"/>
        <charset val="134"/>
      </rPr>
      <t>)</t>
    </r>
  </si>
  <si>
    <t>RO_VDD33_PVD_LAT</t>
  </si>
  <si>
    <r>
      <rPr>
        <sz val="11"/>
        <color rgb="FF000000"/>
        <rFont val="Times New Roman"/>
        <charset val="134"/>
      </rPr>
      <t>VDD33 Power Voltage Detector (PVD) detect index signal:
when VDD33 &lt; PVD_VTH, VDD33_PVD=1 (</t>
    </r>
    <r>
      <rPr>
        <sz val="11"/>
        <color rgb="FF000000"/>
        <rFont val="宋体"/>
        <charset val="134"/>
      </rPr>
      <t>掉电</t>
    </r>
    <r>
      <rPr>
        <sz val="11"/>
        <color rgb="FF000000"/>
        <rFont val="Times New Roman"/>
        <charset val="134"/>
      </rPr>
      <t>);
when VDD33 &gt; PVD_VTH, VDD33_PVD=0 (</t>
    </r>
    <r>
      <rPr>
        <sz val="11"/>
        <color rgb="FF000000"/>
        <rFont val="宋体"/>
        <charset val="134"/>
      </rPr>
      <t>正常</t>
    </r>
    <r>
      <rPr>
        <sz val="11"/>
        <color rgb="FF000000"/>
        <rFont val="Times New Roman"/>
        <charset val="134"/>
      </rPr>
      <t xml:space="preserve">);
</t>
    </r>
    <r>
      <rPr>
        <sz val="11"/>
        <color rgb="FFFF0000"/>
        <rFont val="Times New Roman"/>
        <charset val="134"/>
      </rPr>
      <t xml:space="preserve">(*_LAT </t>
    </r>
    <r>
      <rPr>
        <sz val="11"/>
        <color rgb="FFFF0000"/>
        <rFont val="宋体"/>
        <charset val="134"/>
      </rPr>
      <t>信号有消抖同时锁存</t>
    </r>
    <r>
      <rPr>
        <sz val="11"/>
        <color rgb="FFFF0000"/>
        <rFont val="Times New Roman"/>
        <charset val="134"/>
      </rPr>
      <t xml:space="preserve">, </t>
    </r>
    <r>
      <rPr>
        <sz val="11"/>
        <color rgb="FFFF0000"/>
        <rFont val="宋体"/>
        <charset val="134"/>
      </rPr>
      <t>要求软件解锁释放状态</t>
    </r>
    <r>
      <rPr>
        <sz val="11"/>
        <color rgb="FFFF0000"/>
        <rFont val="Times New Roman"/>
        <charset val="134"/>
      </rPr>
      <t>)</t>
    </r>
  </si>
  <si>
    <t>PLL</t>
  </si>
  <si>
    <t>RO_PLL_ERR_LAT</t>
  </si>
  <si>
    <r>
      <rPr>
        <sz val="11"/>
        <color rgb="FF000000"/>
        <rFont val="Times New Roman"/>
        <charset val="134"/>
      </rPr>
      <t>PLL Lock Error (ERR) index signal. 
When PLL Lock and stable, PLL_ERR=0 (</t>
    </r>
    <r>
      <rPr>
        <sz val="11"/>
        <color rgb="FF000000"/>
        <rFont val="宋体"/>
        <charset val="134"/>
      </rPr>
      <t>正常</t>
    </r>
    <r>
      <rPr>
        <sz val="11"/>
        <color rgb="FF000000"/>
        <rFont val="Times New Roman"/>
        <charset val="134"/>
      </rPr>
      <t>);
When PLL lost Lock and error, PLL_ERR=1 (</t>
    </r>
    <r>
      <rPr>
        <sz val="11"/>
        <color rgb="FF000000"/>
        <rFont val="宋体"/>
        <charset val="134"/>
      </rPr>
      <t>异常</t>
    </r>
    <r>
      <rPr>
        <sz val="11"/>
        <color rgb="FF000000"/>
        <rFont val="Times New Roman"/>
        <charset val="134"/>
      </rPr>
      <t xml:space="preserve"> Latch); 
</t>
    </r>
    <r>
      <rPr>
        <sz val="11"/>
        <color rgb="FFFF0000"/>
        <rFont val="Times New Roman"/>
        <charset val="134"/>
      </rPr>
      <t xml:space="preserve">(*_LAT </t>
    </r>
    <r>
      <rPr>
        <sz val="11"/>
        <color rgb="FFFF0000"/>
        <rFont val="宋体"/>
        <charset val="134"/>
      </rPr>
      <t>信号有消抖同时锁存</t>
    </r>
    <r>
      <rPr>
        <sz val="11"/>
        <color rgb="FFFF0000"/>
        <rFont val="Times New Roman"/>
        <charset val="134"/>
      </rPr>
      <t xml:space="preserve">, </t>
    </r>
    <r>
      <rPr>
        <sz val="11"/>
        <color rgb="FFFF0000"/>
        <rFont val="宋体"/>
        <charset val="134"/>
      </rPr>
      <t>要求软件解锁释放状态</t>
    </r>
    <r>
      <rPr>
        <sz val="11"/>
        <color rgb="FFFF0000"/>
        <rFont val="Times New Roman"/>
        <charset val="134"/>
      </rPr>
      <t>)</t>
    </r>
  </si>
  <si>
    <t>BG</t>
  </si>
  <si>
    <t>RO_BG_RDY</t>
  </si>
  <si>
    <r>
      <rPr>
        <sz val="11"/>
        <color rgb="FF000000"/>
        <rFont val="Times New Roman"/>
        <charset val="134"/>
      </rPr>
      <t>Bandgap Refer Ready Index signal.
When BG is not stable, BG_RDY=0; 
When BG stable, BG_RDY=1 (</t>
    </r>
    <r>
      <rPr>
        <sz val="11"/>
        <color rgb="FF000000"/>
        <rFont val="宋体"/>
        <charset val="134"/>
      </rPr>
      <t>正常</t>
    </r>
    <r>
      <rPr>
        <sz val="11"/>
        <color rgb="FF000000"/>
        <rFont val="Times New Roman"/>
        <charset val="134"/>
      </rPr>
      <t xml:space="preserve">); </t>
    </r>
  </si>
  <si>
    <r>
      <rPr>
        <sz val="11"/>
        <color rgb="FFFF0000"/>
        <rFont val="宋体"/>
        <charset val="134"/>
      </rPr>
      <t>动态信号,需要可读</t>
    </r>
    <r>
      <rPr>
        <sz val="11"/>
        <color rgb="FFFF0000"/>
        <rFont val="Times New Roman"/>
        <charset val="134"/>
      </rPr>
      <t>;</t>
    </r>
  </si>
  <si>
    <t>REF</t>
  </si>
  <si>
    <t>RO_REF_RDY</t>
  </si>
  <si>
    <r>
      <rPr>
        <sz val="11"/>
        <color rgb="FF000000"/>
        <rFont val="Times New Roman"/>
        <charset val="134"/>
      </rPr>
      <t>REF Refer Ready Index signal.
When REF is not stable, REF_RDY=0; 
When REF stable, REF_RDY=1 (</t>
    </r>
    <r>
      <rPr>
        <sz val="11"/>
        <color rgb="FF000000"/>
        <rFont val="宋体"/>
        <charset val="134"/>
      </rPr>
      <t>正常</t>
    </r>
    <r>
      <rPr>
        <sz val="11"/>
        <color rgb="FF000000"/>
        <rFont val="Times New Roman"/>
        <charset val="134"/>
      </rPr>
      <t xml:space="preserve">); </t>
    </r>
  </si>
  <si>
    <t>RO_PLL_RDY</t>
  </si>
  <si>
    <r>
      <rPr>
        <sz val="11"/>
        <color rgb="FF000000"/>
        <rFont val="Times New Roman"/>
        <charset val="134"/>
      </rPr>
      <t>PLL Ready (RDY) index signal. 
When PLL Lock and stable, PLL_RDY=0 (</t>
    </r>
    <r>
      <rPr>
        <sz val="11"/>
        <color rgb="FF000000"/>
        <rFont val="宋体"/>
        <charset val="134"/>
      </rPr>
      <t>正常</t>
    </r>
    <r>
      <rPr>
        <sz val="11"/>
        <color rgb="FF000000"/>
        <rFont val="Times New Roman"/>
        <charset val="134"/>
      </rPr>
      <t>);
When PLL is not Lock and stable, PLL_RDY=1 (</t>
    </r>
    <r>
      <rPr>
        <sz val="11"/>
        <color rgb="FF000000"/>
        <rFont val="宋体"/>
        <charset val="134"/>
      </rPr>
      <t>异常</t>
    </r>
    <r>
      <rPr>
        <sz val="11"/>
        <color rgb="FF000000"/>
        <rFont val="Times New Roman"/>
        <charset val="134"/>
      </rPr>
      <t xml:space="preserve">); </t>
    </r>
  </si>
  <si>
    <t>RO_VDD_RSTN</t>
  </si>
  <si>
    <r>
      <rPr>
        <sz val="11"/>
        <color rgb="FF000000"/>
        <rFont val="宋体"/>
        <charset val="134"/>
      </rPr>
      <t>芯片</t>
    </r>
    <r>
      <rPr>
        <sz val="11"/>
        <color rgb="FF000000"/>
        <rFont val="Times New Roman"/>
        <charset val="134"/>
      </rPr>
      <t xml:space="preserve"> reset </t>
    </r>
    <r>
      <rPr>
        <sz val="11"/>
        <color rgb="FF000000"/>
        <rFont val="宋体"/>
        <charset val="134"/>
      </rPr>
      <t>状态指示</t>
    </r>
    <r>
      <rPr>
        <sz val="11"/>
        <color rgb="FF000000"/>
        <rFont val="Times New Roman"/>
        <charset val="134"/>
      </rPr>
      <t xml:space="preserve">:
0: </t>
    </r>
    <r>
      <rPr>
        <sz val="11"/>
        <color rgb="FF000000"/>
        <rFont val="宋体"/>
        <charset val="134"/>
      </rPr>
      <t>表示处于</t>
    </r>
    <r>
      <rPr>
        <sz val="11"/>
        <color rgb="FF000000"/>
        <rFont val="Times New Roman"/>
        <charset val="134"/>
      </rPr>
      <t>reset</t>
    </r>
    <r>
      <rPr>
        <sz val="11"/>
        <color rgb="FF000000"/>
        <rFont val="宋体"/>
        <charset val="134"/>
      </rPr>
      <t>状态</t>
    </r>
    <r>
      <rPr>
        <sz val="11"/>
        <color rgb="FF000000"/>
        <rFont val="Times New Roman"/>
        <charset val="134"/>
      </rPr>
      <t xml:space="preserve">;
1: </t>
    </r>
    <r>
      <rPr>
        <sz val="11"/>
        <color rgb="FF000000"/>
        <rFont val="宋体"/>
        <charset val="134"/>
      </rPr>
      <t>表示</t>
    </r>
    <r>
      <rPr>
        <sz val="11"/>
        <color rgb="FF000000"/>
        <rFont val="Times New Roman"/>
        <charset val="134"/>
      </rPr>
      <t xml:space="preserve">reset </t>
    </r>
    <r>
      <rPr>
        <sz val="11"/>
        <color rgb="FF000000"/>
        <rFont val="宋体"/>
        <charset val="134"/>
      </rPr>
      <t>释放状态</t>
    </r>
    <r>
      <rPr>
        <sz val="11"/>
        <color rgb="FF000000"/>
        <rFont val="Times New Roman"/>
        <charset val="134"/>
      </rPr>
      <t>;</t>
    </r>
  </si>
  <si>
    <t>VER</t>
  </si>
  <si>
    <t>RO_VER_CODE&lt;3:0&gt;</t>
  </si>
  <si>
    <r>
      <rPr>
        <sz val="11"/>
        <color rgb="FFFF0000"/>
        <rFont val="宋体"/>
        <charset val="134"/>
      </rPr>
      <t>用来 软件读取芯片版本号状态，</t>
    </r>
    <r>
      <rPr>
        <sz val="11"/>
        <color rgb="FFFF0000"/>
        <rFont val="Times New Roman"/>
        <charset val="134"/>
      </rPr>
      <t>HEX</t>
    </r>
    <r>
      <rPr>
        <sz val="11"/>
        <color rgb="FFFF0000"/>
        <rFont val="宋体"/>
        <charset val="134"/>
      </rPr>
      <t>格式，代表</t>
    </r>
    <r>
      <rPr>
        <sz val="11"/>
        <color rgb="FFFF0000"/>
        <rFont val="Times New Roman"/>
        <charset val="134"/>
      </rPr>
      <t xml:space="preserve">A/B/C/D/E/F; </t>
    </r>
    <r>
      <rPr>
        <sz val="11"/>
        <color rgb="FFFF0000"/>
        <rFont val="宋体"/>
        <charset val="134"/>
      </rPr>
      <t>用来表示</t>
    </r>
    <r>
      <rPr>
        <sz val="11"/>
        <color rgb="FFFF0000"/>
        <rFont val="Times New Roman"/>
        <charset val="134"/>
      </rPr>
      <t>ECO</t>
    </r>
    <r>
      <rPr>
        <sz val="11"/>
        <color rgb="FFFF0000"/>
        <rFont val="宋体"/>
        <charset val="134"/>
      </rPr>
      <t>更新版本。</t>
    </r>
    <r>
      <rPr>
        <sz val="11"/>
        <color rgb="FFFF0000"/>
        <rFont val="Times New Roman"/>
        <charset val="134"/>
      </rPr>
      <t xml:space="preserve">
</t>
    </r>
  </si>
  <si>
    <t>静态信号,需要可读;
可用于读取芯片版本号，HEX格式.
A: 1010
B: 1011
… C/D/E/F</t>
  </si>
  <si>
    <t>RO Summary</t>
  </si>
  <si>
    <t>Total Summary</t>
  </si>
  <si>
    <t>signals</t>
  </si>
  <si>
    <t>Version: 0.1:      2025-9-25</t>
  </si>
  <si>
    <t>D2A counter</t>
  </si>
  <si>
    <t>Initial Version for A&amp;D signals define;</t>
  </si>
  <si>
    <t>A2D counter</t>
  </si>
  <si>
    <t>RO counter</t>
  </si>
  <si>
    <t>IR counter</t>
  </si>
  <si>
    <t>Update the A/D signals define for digital design connection;</t>
  </si>
  <si>
    <t>Add A2D_ADC_SAMP signal.</t>
  </si>
  <si>
    <r>
      <rPr>
        <b/>
        <sz val="11"/>
        <color rgb="FF000000"/>
        <rFont val="Times New Roman"/>
        <charset val="134"/>
      </rPr>
      <t>In/Out
(</t>
    </r>
    <r>
      <rPr>
        <b/>
        <sz val="11"/>
        <color rgb="FF000000"/>
        <rFont val="宋体"/>
        <charset val="134"/>
      </rPr>
      <t>参考数字</t>
    </r>
    <r>
      <rPr>
        <b/>
        <sz val="11"/>
        <color rgb="FF000000"/>
        <rFont val="Times New Roman"/>
        <charset val="134"/>
      </rPr>
      <t>)</t>
    </r>
  </si>
  <si>
    <t>GPIO0</t>
  </si>
  <si>
    <t>GPIO0_DS0</t>
  </si>
  <si>
    <t>Select transmitter drive strength, DS1 &amp; DS0:
00: 4mA; 
01: 8mA; 
10: 16mA; 
11: 24mA</t>
  </si>
  <si>
    <t>GPIO0_DS1</t>
  </si>
  <si>
    <t>GPIO0_I</t>
  </si>
  <si>
    <t>Transmitter input data from core to PAD (signal)</t>
  </si>
  <si>
    <t>GPIO0_IE</t>
  </si>
  <si>
    <t>Logic high enables the receiver.
0: Input disable
1: Input enable</t>
  </si>
  <si>
    <t>GPIO0_OE</t>
  </si>
  <si>
    <t>Logic High enables the transmitter.
0: Output disable
1: Output enable</t>
  </si>
  <si>
    <t>GPIO0_PD</t>
  </si>
  <si>
    <t>Logic high enables the pull-down resistor.
0: Pull down disable
1: Pull down enable</t>
  </si>
  <si>
    <t>GPIO0_PU</t>
  </si>
  <si>
    <t>Logic high enables the pull-up resistor.
0: Pull up disable
1: Pull up enable</t>
  </si>
  <si>
    <t>GPIO0_ST</t>
  </si>
  <si>
    <t>Logic high enables Schmitt-trigger.
0: Normal input
1: Schmitt input</t>
  </si>
  <si>
    <t>GPIO0_C</t>
  </si>
  <si>
    <t>input</t>
  </si>
  <si>
    <t>Receiver data output from PAD to core (signal)</t>
  </si>
  <si>
    <t>GPIO1</t>
  </si>
  <si>
    <t>GPIO1_DS0</t>
  </si>
  <si>
    <r>
      <rPr>
        <sz val="11"/>
        <color rgb="FF000000"/>
        <rFont val="Times New Roman"/>
        <charset val="134"/>
      </rPr>
      <t xml:space="preserve">Select transmitter drive strength, DS1 &amp; DS0:
</t>
    </r>
    <r>
      <rPr>
        <sz val="11"/>
        <color rgb="FFFF0000"/>
        <rFont val="Times New Roman"/>
        <charset val="134"/>
      </rPr>
      <t>00: 4mA; 01: 8mA; 10: 12mA; 11: 20mA</t>
    </r>
  </si>
  <si>
    <t>GPIO1_DS1</t>
  </si>
  <si>
    <t>GPIO1_I</t>
  </si>
  <si>
    <t>GPIO1_IE</t>
  </si>
  <si>
    <t>GPIO1_OE</t>
  </si>
  <si>
    <t>GPIO1_PD</t>
  </si>
  <si>
    <t>GPIO1_PU</t>
  </si>
  <si>
    <t>GPIO1_ST</t>
  </si>
  <si>
    <t>GPIO1_C</t>
  </si>
  <si>
    <t>GPIO2</t>
  </si>
  <si>
    <t>GPIO3</t>
  </si>
  <si>
    <t>GPIO4</t>
  </si>
  <si>
    <t>GPIO5</t>
  </si>
  <si>
    <t>GPIO6</t>
  </si>
  <si>
    <t>GPIO7</t>
  </si>
  <si>
    <t>GPIO8</t>
  </si>
  <si>
    <t>GPIO9</t>
  </si>
  <si>
    <t>GPIO10</t>
  </si>
  <si>
    <t>GPIO11</t>
  </si>
  <si>
    <t>GPIO12</t>
  </si>
  <si>
    <t>GPIO13</t>
  </si>
  <si>
    <t>GPIO14</t>
  </si>
  <si>
    <t>GPIO15</t>
  </si>
  <si>
    <t>GPIO16</t>
  </si>
  <si>
    <t>GPIO17</t>
  </si>
  <si>
    <t>GPIO18</t>
  </si>
  <si>
    <t>GPIO19</t>
  </si>
  <si>
    <t>GPIO20</t>
  </si>
  <si>
    <t>GPIO21</t>
  </si>
  <si>
    <t>GPIO22</t>
  </si>
  <si>
    <t>GPIO23</t>
  </si>
  <si>
    <t>GPIO24</t>
  </si>
  <si>
    <t>GPIO25</t>
  </si>
  <si>
    <t>GPIO26</t>
  </si>
  <si>
    <t>GPIO27</t>
  </si>
  <si>
    <t>GPIO28</t>
  </si>
  <si>
    <t>GPIO29</t>
  </si>
  <si>
    <t>GPIO30</t>
  </si>
  <si>
    <t>GPIO31</t>
  </si>
  <si>
    <t>GPIO32</t>
  </si>
  <si>
    <t>GPIO33</t>
  </si>
  <si>
    <t>GPIO34</t>
  </si>
  <si>
    <t>GPIO35</t>
  </si>
  <si>
    <t>GPIO36</t>
  </si>
  <si>
    <t>GPIO37</t>
  </si>
  <si>
    <t>GPIO38</t>
  </si>
  <si>
    <t>GPIO39</t>
  </si>
  <si>
    <t>GPIO40</t>
  </si>
  <si>
    <t>GPIO40_DS0</t>
  </si>
  <si>
    <t>GPIO40_DS1</t>
  </si>
  <si>
    <t>GPIO40_I</t>
  </si>
  <si>
    <t>GPIO40_IE</t>
  </si>
  <si>
    <t>GPIO40_OE</t>
  </si>
  <si>
    <t>GPIO40_PD</t>
  </si>
  <si>
    <t>GPIO40_PU</t>
  </si>
  <si>
    <t>GPIO40_ST</t>
  </si>
  <si>
    <t>GPIO40_C</t>
  </si>
  <si>
    <t>Total Reg. Summary</t>
  </si>
  <si>
    <t>寄存器数目</t>
  </si>
  <si>
    <t>接口信号连接总数目</t>
  </si>
  <si>
    <t>GPIO0_YA
GPIO1_YA
… ...
GPIO40_YA</t>
  </si>
  <si>
    <r>
      <rPr>
        <sz val="11"/>
        <color rgb="FFFF0000"/>
        <rFont val="宋体"/>
        <charset val="134"/>
      </rPr>
      <t>模拟接口信号</t>
    </r>
  </si>
  <si>
    <r>
      <rPr>
        <sz val="11"/>
        <color rgb="FFFF0000"/>
        <rFont val="Times New Roman"/>
        <charset val="134"/>
      </rPr>
      <t xml:space="preserve">GPIOx_YA  </t>
    </r>
    <r>
      <rPr>
        <sz val="11"/>
        <color rgb="FFFF0000"/>
        <rFont val="宋体"/>
        <charset val="134"/>
      </rPr>
      <t>信号用来输出给模拟使用。只是引线出来，未必使用，根据具体需要连接。</t>
    </r>
  </si>
  <si>
    <t>POC_3V</t>
  </si>
  <si>
    <r>
      <rPr>
        <sz val="11"/>
        <color rgb="FFFF0000"/>
        <rFont val="Times New Roman"/>
        <charset val="134"/>
      </rPr>
      <t xml:space="preserve">Power On Complete (POC) </t>
    </r>
    <r>
      <rPr>
        <sz val="11"/>
        <color rgb="FFFF0000"/>
        <rFont val="宋体"/>
        <charset val="134"/>
      </rPr>
      <t>上电完成指示，</t>
    </r>
    <r>
      <rPr>
        <sz val="11"/>
        <color rgb="FFFF0000"/>
        <rFont val="Times New Roman"/>
        <charset val="134"/>
      </rPr>
      <t>POC=0</t>
    </r>
    <r>
      <rPr>
        <sz val="11"/>
        <color rgb="FFFF0000"/>
        <rFont val="宋体"/>
        <charset val="134"/>
      </rPr>
      <t>时，所有</t>
    </r>
    <r>
      <rPr>
        <sz val="11"/>
        <color rgb="FFFF0000"/>
        <rFont val="Times New Roman"/>
        <charset val="134"/>
      </rPr>
      <t>GPIO</t>
    </r>
    <r>
      <rPr>
        <sz val="11"/>
        <color rgb="FFFF0000"/>
        <rFont val="宋体"/>
        <charset val="134"/>
      </rPr>
      <t>处于高阻态，</t>
    </r>
    <r>
      <rPr>
        <sz val="11"/>
        <color rgb="FFFF0000"/>
        <rFont val="Times New Roman"/>
        <charset val="134"/>
      </rPr>
      <t>POC=1</t>
    </r>
    <r>
      <rPr>
        <sz val="11"/>
        <color rgb="FFFF0000"/>
        <rFont val="宋体"/>
        <charset val="134"/>
      </rPr>
      <t>时，放开</t>
    </r>
    <r>
      <rPr>
        <sz val="11"/>
        <color rgb="FFFF0000"/>
        <rFont val="Times New Roman"/>
        <charset val="134"/>
      </rPr>
      <t>GPIO</t>
    </r>
    <r>
      <rPr>
        <sz val="11"/>
        <color rgb="FFFF0000"/>
        <rFont val="宋体"/>
        <charset val="134"/>
      </rPr>
      <t>，由数字控制。</t>
    </r>
    <r>
      <rPr>
        <sz val="11"/>
        <color rgb="FFFF0000"/>
        <rFont val="Times New Roman"/>
        <charset val="134"/>
      </rPr>
      <t>3.3V</t>
    </r>
    <r>
      <rPr>
        <sz val="11"/>
        <color rgb="FFFF0000"/>
        <rFont val="宋体"/>
        <charset val="134"/>
      </rPr>
      <t>电平控制，从模拟内部输出。</t>
    </r>
  </si>
  <si>
    <t>EN_DSLP</t>
  </si>
  <si>
    <r>
      <rPr>
        <sz val="11"/>
        <color rgb="FFFF0000"/>
        <rFont val="Times New Roman"/>
        <charset val="134"/>
      </rPr>
      <t xml:space="preserve">EN_DSLP </t>
    </r>
    <r>
      <rPr>
        <sz val="11"/>
        <color rgb="FFFF0000"/>
        <rFont val="宋体"/>
        <charset val="134"/>
      </rPr>
      <t>用于进入</t>
    </r>
    <r>
      <rPr>
        <sz val="11"/>
        <color rgb="FFFF0000"/>
        <rFont val="Times New Roman"/>
        <charset val="134"/>
      </rPr>
      <t xml:space="preserve">deep sleep mode </t>
    </r>
    <r>
      <rPr>
        <sz val="11"/>
        <color rgb="FFFF0000"/>
        <rFont val="宋体"/>
        <charset val="134"/>
      </rPr>
      <t>使能</t>
    </r>
    <r>
      <rPr>
        <sz val="11"/>
        <color rgb="FFFF0000"/>
        <rFont val="Times New Roman"/>
        <charset val="134"/>
      </rPr>
      <t>LATCH</t>
    </r>
    <r>
      <rPr>
        <sz val="11"/>
        <color rgb="FFFF0000"/>
        <rFont val="宋体"/>
        <charset val="134"/>
      </rPr>
      <t>，让</t>
    </r>
    <r>
      <rPr>
        <sz val="11"/>
        <color rgb="FFFF0000"/>
        <rFont val="Times New Roman"/>
        <charset val="134"/>
      </rPr>
      <t>GPIO</t>
    </r>
    <r>
      <rPr>
        <sz val="11"/>
        <color rgb="FFFF0000"/>
        <rFont val="宋体"/>
        <charset val="134"/>
      </rPr>
      <t>的输入信号保持锁定态。</t>
    </r>
    <r>
      <rPr>
        <sz val="11"/>
        <color rgb="FFFF0000"/>
        <rFont val="Times New Roman"/>
        <charset val="134"/>
      </rPr>
      <t>1.2V</t>
    </r>
    <r>
      <rPr>
        <sz val="11"/>
        <color rgb="FFFF0000"/>
        <rFont val="宋体"/>
        <charset val="134"/>
      </rPr>
      <t>（</t>
    </r>
    <r>
      <rPr>
        <sz val="11"/>
        <color rgb="FFFF0000"/>
        <rFont val="Times New Roman"/>
        <charset val="134"/>
      </rPr>
      <t>VDD12A</t>
    </r>
    <r>
      <rPr>
        <sz val="11"/>
        <color rgb="FFFF0000"/>
        <rFont val="宋体"/>
        <charset val="134"/>
      </rPr>
      <t>）电平，从模拟输出。</t>
    </r>
  </si>
  <si>
    <t>Update the GPIO signals define for digital design connection;</t>
  </si>
  <si>
    <r>
      <rPr>
        <sz val="11"/>
        <color rgb="FFFF0000"/>
        <rFont val="Times New Roman"/>
        <charset val="134"/>
      </rPr>
      <t>remove GPIO41. (</t>
    </r>
    <r>
      <rPr>
        <sz val="11"/>
        <color rgb="FFFF0000"/>
        <rFont val="宋体"/>
        <charset val="134"/>
      </rPr>
      <t>减少一个</t>
    </r>
    <r>
      <rPr>
        <sz val="11"/>
        <color rgb="FFFF0000"/>
        <rFont val="Times New Roman"/>
        <charset val="134"/>
      </rPr>
      <t>GPIO)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</si>
</sst>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5">
    <font>
      <sz val="12"/>
      <color theme="1"/>
      <name val="宋体"/>
      <charset val="134"/>
      <scheme val="minor"/>
    </font>
    <font>
      <sz val="11"/>
      <color rgb="FF000000"/>
      <name val="Times New Roman"/>
      <charset val="134"/>
    </font>
    <font>
      <b/>
      <sz val="11"/>
      <color rgb="FF000000"/>
      <name val="Times New Roman"/>
      <charset val="134"/>
    </font>
    <font>
      <sz val="11"/>
      <color rgb="FFFF0000"/>
      <name val="Times New Roman"/>
      <charset val="134"/>
    </font>
    <font>
      <b/>
      <sz val="11"/>
      <color rgb="FFFF0000"/>
      <name val="Times New Roman"/>
      <charset val="134"/>
    </font>
    <font>
      <sz val="11"/>
      <color rgb="FFFF0000"/>
      <name val="宋体"/>
      <charset val="134"/>
    </font>
    <font>
      <b/>
      <sz val="10"/>
      <color rgb="FF000000"/>
      <name val="Times New Roman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C00000"/>
      <name val="Times New Roman"/>
      <charset val="134"/>
    </font>
    <font>
      <sz val="11"/>
      <color rgb="FFFF0000"/>
      <name val="Times New Roman"/>
      <charset val="134"/>
    </font>
    <font>
      <b/>
      <sz val="11"/>
      <color rgb="FF000000"/>
      <name val="宋体"/>
      <charset val="134"/>
    </font>
    <font>
      <sz val="11"/>
      <name val="宋体"/>
      <charset val="134"/>
    </font>
    <font>
      <sz val="11"/>
      <name val="Times New Roman"/>
      <charset val="134"/>
    </font>
    <font>
      <sz val="11"/>
      <color rgb="FFFE0300"/>
      <name val="Times New Roman"/>
      <charset val="134"/>
    </font>
    <font>
      <sz val="10"/>
      <color rgb="FF000000"/>
      <name val="Times New Roman"/>
      <charset val="134"/>
    </font>
    <font>
      <sz val="10"/>
      <color rgb="FFFF0000"/>
      <name val="Times New Roman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0"/>
      <color rgb="FF000000"/>
      <name val="宋体"/>
      <charset val="134"/>
    </font>
    <font>
      <sz val="11"/>
      <color rgb="FFC00000"/>
      <name val="宋体"/>
      <charset val="134"/>
    </font>
    <font>
      <sz val="11"/>
      <color rgb="FFFF0000"/>
      <name val="宋体"/>
      <charset val="134"/>
    </font>
    <font>
      <b/>
      <sz val="11"/>
      <color rgb="FFFF0000"/>
      <name val="宋体"/>
      <charset val="134"/>
    </font>
    <font>
      <sz val="10"/>
      <color rgb="FF000000"/>
      <name val="宋体"/>
      <charset val="134"/>
    </font>
    <font>
      <i/>
      <sz val="11"/>
      <color rgb="FF00000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E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8" borderId="19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9" borderId="22" applyNumberFormat="0" applyAlignment="0" applyProtection="0">
      <alignment vertical="center"/>
    </xf>
    <xf numFmtId="0" fontId="28" fillId="10" borderId="23" applyNumberFormat="0" applyAlignment="0" applyProtection="0">
      <alignment vertical="center"/>
    </xf>
    <xf numFmtId="0" fontId="29" fillId="10" borderId="22" applyNumberFormat="0" applyAlignment="0" applyProtection="0">
      <alignment vertical="center"/>
    </xf>
    <xf numFmtId="0" fontId="30" fillId="11" borderId="24" applyNumberFormat="0" applyAlignment="0" applyProtection="0">
      <alignment vertical="center"/>
    </xf>
    <xf numFmtId="0" fontId="31" fillId="0" borderId="25" applyNumberFormat="0" applyFill="0" applyAlignment="0" applyProtection="0">
      <alignment vertical="center"/>
    </xf>
    <xf numFmtId="0" fontId="32" fillId="0" borderId="26" applyNumberFormat="0" applyFill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8" fillId="0" borderId="0">
      <alignment vertical="center"/>
    </xf>
  </cellStyleXfs>
  <cellXfs count="117">
    <xf numFmtId="0" fontId="0" fillId="0" borderId="0" xfId="0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wrapText="1"/>
    </xf>
    <xf numFmtId="0" fontId="7" fillId="0" borderId="0" xfId="0" applyFont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left" wrapText="1"/>
    </xf>
    <xf numFmtId="49" fontId="5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2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3" borderId="9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center" vertical="center"/>
    </xf>
    <xf numFmtId="49" fontId="2" fillId="3" borderId="10" xfId="0" applyNumberFormat="1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/>
    </xf>
    <xf numFmtId="0" fontId="10" fillId="0" borderId="11" xfId="0" applyFont="1" applyBorder="1" applyAlignment="1">
      <alignment vertical="center" wrapText="1"/>
    </xf>
    <xf numFmtId="0" fontId="2" fillId="0" borderId="12" xfId="0" applyFont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left" vertical="center" wrapText="1"/>
    </xf>
    <xf numFmtId="49" fontId="11" fillId="3" borderId="10" xfId="0" applyNumberFormat="1" applyFont="1" applyFill="1" applyBorder="1" applyAlignment="1">
      <alignment horizontal="left" vertical="center" wrapText="1"/>
    </xf>
    <xf numFmtId="0" fontId="12" fillId="0" borderId="13" xfId="49" applyFont="1" applyBorder="1" applyAlignment="1">
      <alignment vertical="center" wrapText="1"/>
    </xf>
    <xf numFmtId="0" fontId="13" fillId="0" borderId="13" xfId="49" applyFont="1" applyBorder="1" applyAlignment="1">
      <alignment vertical="center" wrapText="1"/>
    </xf>
    <xf numFmtId="0" fontId="3" fillId="0" borderId="13" xfId="49" applyFont="1" applyBorder="1" applyAlignment="1">
      <alignment horizontal="left" vertical="center"/>
    </xf>
    <xf numFmtId="0" fontId="3" fillId="0" borderId="13" xfId="49" applyFont="1" applyBorder="1" applyAlignment="1">
      <alignment vertical="center" wrapText="1"/>
    </xf>
    <xf numFmtId="0" fontId="13" fillId="0" borderId="13" xfId="49" applyFont="1" applyBorder="1" applyAlignment="1">
      <alignment horizontal="left" vertical="center" wrapText="1"/>
    </xf>
    <xf numFmtId="0" fontId="12" fillId="0" borderId="13" xfId="49" applyFont="1" applyBorder="1" applyAlignment="1">
      <alignment horizontal="left" vertical="center" wrapText="1"/>
    </xf>
    <xf numFmtId="0" fontId="3" fillId="4" borderId="13" xfId="49" applyFont="1" applyFill="1" applyBorder="1" applyAlignment="1">
      <alignment vertical="center" wrapText="1"/>
    </xf>
    <xf numFmtId="49" fontId="13" fillId="0" borderId="14" xfId="49" applyNumberFormat="1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/>
    </xf>
    <xf numFmtId="0" fontId="14" fillId="7" borderId="15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center" vertical="center"/>
    </xf>
    <xf numFmtId="49" fontId="12" fillId="0" borderId="14" xfId="49" applyNumberFormat="1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49" fontId="3" fillId="0" borderId="14" xfId="49" applyNumberFormat="1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49" fontId="15" fillId="0" borderId="1" xfId="0" applyNumberFormat="1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14" fillId="7" borderId="1" xfId="0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/>
    </xf>
    <xf numFmtId="0" fontId="1" fillId="3" borderId="16" xfId="0" applyFont="1" applyFill="1" applyBorder="1" applyAlignment="1">
      <alignment horizontal="center" vertical="center"/>
    </xf>
    <xf numFmtId="49" fontId="1" fillId="3" borderId="17" xfId="0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1" xfId="0" applyFont="1" applyBorder="1" applyAlignment="1" quotePrefix="1">
      <alignment horizontal="center" vertical="center"/>
    </xf>
    <xf numFmtId="0" fontId="1" fillId="0" borderId="1" xfId="0" applyFont="1" applyBorder="1" applyAlignment="1" quotePrefix="1">
      <alignment horizontal="center" vertical="center"/>
    </xf>
    <xf numFmtId="0" fontId="3" fillId="0" borderId="1" xfId="0" applyFont="1" applyBorder="1" applyAlignment="1" quotePrefix="1">
      <alignment horizontal="center" vertical="center"/>
    </xf>
    <xf numFmtId="0" fontId="1" fillId="0" borderId="5" xfId="0" applyFont="1" applyBorder="1" applyAlignment="1" quotePrefix="1">
      <alignment horizontal="center" vertical="center"/>
    </xf>
    <xf numFmtId="0" fontId="14" fillId="4" borderId="1" xfId="0" applyFont="1" applyFill="1" applyBorder="1" applyAlignment="1" quotePrefix="1">
      <alignment horizontal="center" vertical="center"/>
    </xf>
    <xf numFmtId="0" fontId="3" fillId="0" borderId="4" xfId="0" applyFont="1" applyBorder="1" applyAlignment="1" quotePrefix="1">
      <alignment horizontal="center" vertical="center"/>
    </xf>
    <xf numFmtId="0" fontId="14" fillId="7" borderId="1" xfId="0" applyFont="1" applyFill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Rbus_082712_v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434715</xdr:colOff>
      <xdr:row>0</xdr:row>
      <xdr:rowOff>366503</xdr:rowOff>
    </xdr:from>
    <xdr:ext cx="5434180" cy="2629246"/>
    <xdr:sp>
      <xdr:nvSpPr>
        <xdr:cNvPr id="2" name="shape1"/>
        <xdr:cNvSpPr/>
      </xdr:nvSpPr>
      <xdr:spPr>
        <a:xfrm>
          <a:off x="9254490" y="366395"/>
          <a:ext cx="5434330" cy="2628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200" baseline="0">
              <a:solidFill>
                <a:srgbClr val="FF0000"/>
              </a:solidFill>
              <a:latin typeface="等线 Light" panose="02010600030101010101" charset="-122"/>
            </a:rPr>
            <a:t>睡眠模式 (sleep):</a:t>
          </a:r>
          <a:endParaRPr lang="zh-CN" altLang="en-US" sz="1200" baseline="0">
            <a:solidFill>
              <a:srgbClr val="FF0000"/>
            </a:solidFill>
            <a:latin typeface="等线 Light" panose="02010600030101010101" charset="-122"/>
          </a:endParaRPr>
        </a:p>
        <a:p>
          <a:pPr algn="l"/>
          <a:r>
            <a:rPr lang="zh-CN" altLang="en-US" sz="1200" baseline="0">
              <a:solidFill>
                <a:srgbClr val="FF0000"/>
              </a:solidFill>
              <a:latin typeface="+mn-lt"/>
              <a:ea typeface="+mn-ea"/>
            </a:rPr>
            <a:t>RW_ANA_EN=0, RW_DSLP_EN=0</a:t>
          </a:r>
          <a:endParaRPr lang="zh-CN" altLang="en-US" sz="1200" baseline="0">
            <a:solidFill>
              <a:srgbClr val="FF0000"/>
            </a:solidFill>
            <a:latin typeface="+mn-lt"/>
            <a:ea typeface="+mn-ea"/>
          </a:endParaRPr>
        </a:p>
        <a:p>
          <a:pPr algn="l"/>
        </a:p>
        <a:p>
          <a:pPr algn="l"/>
          <a:r>
            <a:rPr lang="zh-CN" altLang="en-US" sz="1200" baseline="0">
              <a:solidFill>
                <a:srgbClr val="FF0000"/>
              </a:solidFill>
              <a:latin typeface="+mn-lt"/>
              <a:ea typeface="+mn-ea"/>
            </a:rPr>
            <a:t>深度睡眠模式 (deep-sleep):</a:t>
          </a:r>
          <a:endParaRPr lang="zh-CN" altLang="en-US" sz="1200" baseline="0">
            <a:solidFill>
              <a:srgbClr val="FF0000"/>
            </a:solidFill>
            <a:latin typeface="+mn-lt"/>
            <a:ea typeface="+mn-ea"/>
          </a:endParaRPr>
        </a:p>
        <a:p>
          <a:pPr algn="l"/>
          <a:r>
            <a:rPr lang="zh-CN" altLang="en-US" sz="1100" baseline="0">
              <a:solidFill>
                <a:srgbClr val="FF0000"/>
              </a:solidFill>
              <a:latin typeface="+mn-lt"/>
              <a:ea typeface="+mn-ea"/>
            </a:rPr>
            <a:t>RW_ANA_EN=0, RW_DSLP_EN=1</a:t>
          </a:r>
          <a:endParaRPr lang="zh-CN" altLang="en-US" sz="1100" baseline="0">
            <a:solidFill>
              <a:srgbClr val="FF0000"/>
            </a:solidFill>
            <a:latin typeface="+mn-lt"/>
            <a:ea typeface="+mn-ea"/>
          </a:endParaRPr>
        </a:p>
        <a:p>
          <a:pPr algn="l"/>
        </a:p>
        <a:p>
          <a:pPr algn="l"/>
          <a:r>
            <a:rPr lang="zh-CN" altLang="en-US" sz="1200" baseline="0">
              <a:solidFill>
                <a:srgbClr val="FF0000"/>
              </a:solidFill>
              <a:latin typeface="+mn-lt"/>
              <a:ea typeface="+mn-ea"/>
            </a:rPr>
            <a:t>简要步骤:</a:t>
          </a:r>
          <a:endParaRPr lang="zh-CN" altLang="en-US" sz="1200" baseline="0">
            <a:solidFill>
              <a:srgbClr val="FF0000"/>
            </a:solidFill>
            <a:latin typeface="+mn-lt"/>
            <a:ea typeface="+mn-ea"/>
          </a:endParaRPr>
        </a:p>
        <a:p>
          <a:pPr algn="l"/>
          <a:r>
            <a:rPr lang="zh-CN" altLang="en-US" sz="1200" baseline="0">
              <a:solidFill>
                <a:srgbClr val="FF0000"/>
              </a:solidFill>
              <a:latin typeface="+mn-lt"/>
              <a:ea typeface="+mn-ea"/>
            </a:rPr>
            <a:t>1) 进入睡眠前, 配置 EN 里面的寄存器到想要的模式（哪些关，哪些开）,  </a:t>
          </a:r>
          <a:endParaRPr lang="zh-CN" altLang="en-US" sz="1200" baseline="0">
            <a:solidFill>
              <a:srgbClr val="FF0000"/>
            </a:solidFill>
            <a:latin typeface="+mn-lt"/>
            <a:ea typeface="+mn-ea"/>
          </a:endParaRPr>
        </a:p>
        <a:p>
          <a:pPr algn="l"/>
          <a:r>
            <a:rPr lang="zh-CN" altLang="en-US" sz="1200" baseline="0">
              <a:solidFill>
                <a:srgbClr val="FF0000"/>
              </a:solidFill>
              <a:latin typeface="+mn-lt"/>
              <a:ea typeface="+mn-ea"/>
            </a:rPr>
            <a:t>    例如，关闭耗电部分( 防止唤醒时负载太重);</a:t>
          </a:r>
          <a:endParaRPr lang="zh-CN" altLang="en-US" sz="1200" baseline="0">
            <a:solidFill>
              <a:srgbClr val="FF0000"/>
            </a:solidFill>
            <a:latin typeface="+mn-lt"/>
            <a:ea typeface="+mn-ea"/>
          </a:endParaRPr>
        </a:p>
        <a:p>
          <a:pPr algn="l"/>
          <a:r>
            <a:rPr lang="zh-CN" altLang="en-US" sz="1200" baseline="0">
              <a:solidFill>
                <a:srgbClr val="FF0000"/>
              </a:solidFill>
              <a:latin typeface="+mn-lt"/>
              <a:ea typeface="+mn-ea"/>
            </a:rPr>
            <a:t>2) 配置 EN: RW_ANA_EN =0 (</a:t>
          </a:r>
          <a:r>
            <a:rPr lang="zh-CN" altLang="en-US" sz="1100" baseline="0">
              <a:solidFill>
                <a:srgbClr val="FF0000"/>
              </a:solidFill>
              <a:latin typeface="+mn-lt"/>
              <a:ea typeface="+mn-ea"/>
            </a:rPr>
            <a:t>RW_DSLP_EN =1</a:t>
          </a:r>
          <a:r>
            <a:rPr lang="zh-CN" altLang="en-US" sz="1200" baseline="0">
              <a:solidFill>
                <a:srgbClr val="FF0000"/>
              </a:solidFill>
              <a:latin typeface="+mn-lt"/>
              <a:ea typeface="+mn-ea"/>
            </a:rPr>
            <a:t>), 进入睡眠 (最后一步配置);</a:t>
          </a:r>
          <a:endParaRPr lang="zh-CN" altLang="en-US" sz="1200" baseline="0">
            <a:solidFill>
              <a:srgbClr val="FF0000"/>
            </a:solidFill>
            <a:latin typeface="+mn-lt"/>
            <a:ea typeface="+mn-ea"/>
          </a:endParaRPr>
        </a:p>
        <a:p>
          <a:pPr algn="l"/>
          <a:r>
            <a:rPr lang="zh-CN" altLang="en-US" sz="1200" baseline="0">
              <a:solidFill>
                <a:srgbClr val="FF0000"/>
              </a:solidFill>
              <a:latin typeface="+mn-lt"/>
              <a:ea typeface="+mn-ea"/>
            </a:rPr>
            <a:t>3) 退出睡眠, 设置 RW_ANA_EN=1 </a:t>
          </a:r>
          <a:r>
            <a:rPr lang="zh-CN" altLang="en-US" sz="1100" baseline="0">
              <a:solidFill>
                <a:srgbClr val="FF0000"/>
              </a:solidFill>
              <a:latin typeface="+mn-lt"/>
              <a:ea typeface="+mn-ea"/>
            </a:rPr>
            <a:t>(RW_DSLP_EN =0) </a:t>
          </a:r>
          <a:r>
            <a:rPr lang="zh-CN" altLang="en-US" sz="1200" baseline="0">
              <a:solidFill>
                <a:srgbClr val="FF0000"/>
              </a:solidFill>
              <a:latin typeface="+mn-lt"/>
              <a:ea typeface="+mn-ea"/>
            </a:rPr>
            <a:t>, 进入唤醒模式, LDO/CLK开启;</a:t>
          </a:r>
          <a:endParaRPr lang="zh-CN" altLang="en-US" sz="1200" baseline="0">
            <a:solidFill>
              <a:srgbClr val="FF0000"/>
            </a:solidFill>
            <a:latin typeface="+mn-lt"/>
            <a:ea typeface="+mn-ea"/>
          </a:endParaRPr>
        </a:p>
        <a:p>
          <a:pPr algn="l"/>
          <a:r>
            <a:rPr lang="zh-CN" altLang="en-US" sz="1200" baseline="0">
              <a:solidFill>
                <a:srgbClr val="FF0000"/>
              </a:solidFill>
              <a:latin typeface="+mn-lt"/>
              <a:ea typeface="+mn-ea"/>
            </a:rPr>
            <a:t>4) 再配置耗电部分开启.</a:t>
          </a:r>
          <a:endParaRPr lang="zh-CN" altLang="en-US" sz="1200" baseline="0">
            <a:solidFill>
              <a:srgbClr val="FF0000"/>
            </a:solidFill>
            <a:latin typeface="+mn-lt"/>
            <a:ea typeface="+mn-ea"/>
          </a:endParaRPr>
        </a:p>
        <a:p>
          <a:pPr algn="l"/>
          <a:r>
            <a:rPr lang="zh-CN" altLang="en-US" sz="1200" baseline="0">
              <a:solidFill>
                <a:srgbClr val="FF0000"/>
              </a:solidFill>
              <a:latin typeface="+mn-lt"/>
              <a:ea typeface="+mn-ea"/>
            </a:rPr>
            <a:t>注意: 睡眠模式下, LDO33和LDO12 进入低功耗模式, 驱动能力有限.</a:t>
          </a:r>
          <a:endParaRPr lang="zh-CN" altLang="en-US" sz="1200" baseline="0">
            <a:solidFill>
              <a:srgbClr val="FF0000"/>
            </a:solidFill>
            <a:latin typeface="+mn-lt"/>
            <a:ea typeface="+mn-ea"/>
          </a:endParaRPr>
        </a:p>
      </xdr:txBody>
    </xdr:sp>
    <xdr:clientData/>
  </xdr:oneCellAnchor>
  <xdr:oneCellAnchor>
    <xdr:from>
      <xdr:col>5</xdr:col>
      <xdr:colOff>684193</xdr:colOff>
      <xdr:row>157</xdr:row>
      <xdr:rowOff>116833</xdr:rowOff>
    </xdr:from>
    <xdr:ext cx="6285866" cy="692690"/>
    <xdr:sp>
      <xdr:nvSpPr>
        <xdr:cNvPr id="4" name="shape2"/>
        <xdr:cNvSpPr/>
      </xdr:nvSpPr>
      <xdr:spPr>
        <a:xfrm>
          <a:off x="5646420" y="102692835"/>
          <a:ext cx="6285865" cy="692785"/>
        </a:xfrm>
        <a:prstGeom prst="rect">
          <a:avLst/>
        </a:prstGeom>
        <a:solidFill>
          <a:srgbClr val="FE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200" baseline="0">
              <a:solidFill>
                <a:srgbClr val="FF0000"/>
              </a:solidFill>
              <a:latin typeface="等线 Light" panose="02010600030101010101" charset="-122"/>
            </a:rPr>
            <a:t>说明:</a:t>
          </a:r>
          <a:endParaRPr lang="zh-CN" altLang="en-US" sz="1200" baseline="0">
            <a:solidFill>
              <a:srgbClr val="FF0000"/>
            </a:solidFill>
            <a:latin typeface="等线 Light" panose="02010600030101010101" charset="-122"/>
          </a:endParaRPr>
        </a:p>
        <a:p>
          <a:pPr algn="l"/>
          <a:r>
            <a:rPr lang="zh-CN" altLang="en-US" sz="1200" baseline="0">
              <a:solidFill>
                <a:srgbClr val="FF0000"/>
              </a:solidFill>
              <a:latin typeface="等线 Light" panose="02010600030101010101" charset="-122"/>
            </a:rPr>
            <a:t>1) NC,  表示把该地址空着, 以备日后使用,不用预留走线和物理实体；</a:t>
          </a:r>
          <a:endParaRPr lang="zh-CN" altLang="en-US" sz="1200" baseline="0">
            <a:solidFill>
              <a:srgbClr val="FF0000"/>
            </a:solidFill>
            <a:latin typeface="等线 Light" panose="02010600030101010101" charset="-122"/>
          </a:endParaRPr>
        </a:p>
        <a:p>
          <a:pPr algn="l"/>
          <a:r>
            <a:rPr lang="zh-CN" altLang="en-US" sz="1200" baseline="0">
              <a:solidFill>
                <a:srgbClr val="FF0000"/>
              </a:solidFill>
              <a:latin typeface="等线 Light" panose="02010600030101010101" charset="-122"/>
            </a:rPr>
            <a:t>2) x_RSV&lt;n:0&gt;,  表示预留的寄存器, 需要有实体, 备用于后续的ECO更新等, 备用寄存器. </a:t>
          </a:r>
          <a:endParaRPr lang="zh-CN" altLang="en-US" sz="1200" baseline="0">
            <a:solidFill>
              <a:srgbClr val="FF0000"/>
            </a:solidFill>
            <a:latin typeface="等线 Light" panose="02010600030101010101" charset="-122"/>
          </a:endParaRPr>
        </a:p>
      </xdr:txBody>
    </xdr:sp>
    <xdr:clientData/>
  </xdr:oneCellAnchor>
  <xdr:oneCellAnchor>
    <xdr:from>
      <xdr:col>6</xdr:col>
      <xdr:colOff>526357</xdr:colOff>
      <xdr:row>4</xdr:row>
      <xdr:rowOff>18811</xdr:rowOff>
    </xdr:from>
    <xdr:ext cx="4295774" cy="492571"/>
    <xdr:sp>
      <xdr:nvSpPr>
        <xdr:cNvPr id="3" name="shape3"/>
        <xdr:cNvSpPr/>
      </xdr:nvSpPr>
      <xdr:spPr>
        <a:xfrm>
          <a:off x="9345930" y="3161665"/>
          <a:ext cx="4295775" cy="492760"/>
        </a:xfrm>
        <a:prstGeom prst="rect">
          <a:avLst/>
        </a:prstGeom>
        <a:solidFill>
          <a:srgbClr val="FEFF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200" baseline="0">
              <a:solidFill>
                <a:srgbClr val="FF0000"/>
              </a:solidFill>
              <a:latin typeface="+mn-lt"/>
              <a:ea typeface="+mn-ea"/>
            </a:rPr>
            <a:t>注意： 寄存器EN组，需要工作在 VDD12A（不关断电源下），确保控制是确定态。其他寄存器可以工作在VDD12D下。</a:t>
          </a:r>
          <a:endParaRPr lang="zh-CN" altLang="en-US" sz="1200" baseline="0">
            <a:solidFill>
              <a:srgbClr val="FF0000"/>
            </a:solidFill>
            <a:latin typeface="+mn-lt"/>
            <a:ea typeface="+mn-ea"/>
          </a:endParaRPr>
        </a:p>
      </xdr:txBody>
    </xdr:sp>
    <xdr:clientData/>
  </xdr:oneCellAnchor>
  <xdr:twoCellAnchor editAs="oneCell">
    <xdr:from>
      <xdr:col>6</xdr:col>
      <xdr:colOff>840442</xdr:colOff>
      <xdr:row>5</xdr:row>
      <xdr:rowOff>11206</xdr:rowOff>
    </xdr:from>
    <xdr:to>
      <xdr:col>14</xdr:col>
      <xdr:colOff>169482</xdr:colOff>
      <xdr:row>11</xdr:row>
      <xdr:rowOff>442665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660255" y="4087495"/>
          <a:ext cx="6796405" cy="4222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28574</xdr:colOff>
      <xdr:row>15</xdr:row>
      <xdr:rowOff>57150</xdr:rowOff>
    </xdr:from>
    <xdr:ext cx="3646955" cy="771526"/>
    <xdr:sp>
      <xdr:nvSpPr>
        <xdr:cNvPr id="2" name="shape4"/>
        <xdr:cNvSpPr/>
      </xdr:nvSpPr>
      <xdr:spPr>
        <a:xfrm>
          <a:off x="12781915" y="7581900"/>
          <a:ext cx="3647440" cy="771525"/>
        </a:xfrm>
        <a:prstGeom prst="rect">
          <a:avLst/>
        </a:prstGeom>
        <a:solidFill>
          <a:srgbClr val="FE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200" baseline="0">
              <a:solidFill>
                <a:srgbClr val="FF0000"/>
              </a:solidFill>
              <a:latin typeface="等线 Light" panose="02010600030101010101" charset="-122"/>
            </a:rPr>
            <a:t>等级1, 严重事件, 需要及时处理或响应; </a:t>
          </a:r>
          <a:endParaRPr lang="zh-CN" altLang="en-US" sz="1200" baseline="0">
            <a:solidFill>
              <a:srgbClr val="FF0000"/>
            </a:solidFill>
            <a:latin typeface="等线 Light" panose="02010600030101010101" charset="-122"/>
          </a:endParaRPr>
        </a:p>
        <a:p>
          <a:pPr algn="l"/>
          <a:r>
            <a:rPr lang="zh-CN" altLang="en-US" sz="1200" baseline="0">
              <a:solidFill>
                <a:srgbClr val="FF0000"/>
              </a:solidFill>
              <a:latin typeface="等线 Light" panose="02010600030101010101" charset="-122"/>
            </a:rPr>
            <a:t>等级2, 重要事件, 报警芯片状态, 需要对应调整; </a:t>
          </a:r>
          <a:endParaRPr lang="zh-CN" altLang="en-US" sz="1200" baseline="0">
            <a:solidFill>
              <a:srgbClr val="FF0000"/>
            </a:solidFill>
            <a:latin typeface="等线 Light" panose="02010600030101010101" charset="-122"/>
          </a:endParaRPr>
        </a:p>
        <a:p>
          <a:pPr algn="l"/>
          <a:r>
            <a:rPr lang="zh-CN" altLang="en-US" sz="1200" baseline="0">
              <a:solidFill>
                <a:srgbClr val="FF0000"/>
              </a:solidFill>
              <a:latin typeface="等线 Light" panose="02010600030101010101" charset="-122"/>
            </a:rPr>
            <a:t>等级3, 状态提醒, 用来知道一些重要变化; </a:t>
          </a:r>
          <a:endParaRPr lang="zh-CN" altLang="en-US" sz="1200" baseline="0">
            <a:solidFill>
              <a:srgbClr val="FF0000"/>
            </a:solidFill>
            <a:latin typeface="等线 Light" panose="02010600030101010101" charset="-122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180976</xdr:colOff>
      <xdr:row>0</xdr:row>
      <xdr:rowOff>135618</xdr:rowOff>
    </xdr:from>
    <xdr:ext cx="4343400" cy="4618229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9601200" y="135255"/>
          <a:ext cx="4343400" cy="4618355"/>
        </a:xfrm>
        <a:prstGeom prst="rect">
          <a:avLst/>
        </a:prstGeom>
      </xdr:spPr>
    </xdr:pic>
    <xdr:clientData/>
  </xdr:oneCellAnchor>
  <xdr:oneCellAnchor>
    <xdr:from>
      <xdr:col>4</xdr:col>
      <xdr:colOff>600075</xdr:colOff>
      <xdr:row>41</xdr:row>
      <xdr:rowOff>104775</xdr:rowOff>
    </xdr:from>
    <xdr:ext cx="3371850" cy="771526"/>
    <xdr:sp>
      <xdr:nvSpPr>
        <xdr:cNvPr id="5" name="shape5"/>
        <xdr:cNvSpPr/>
      </xdr:nvSpPr>
      <xdr:spPr>
        <a:xfrm>
          <a:off x="4676775" y="12611100"/>
          <a:ext cx="3371850" cy="771525"/>
        </a:xfrm>
        <a:prstGeom prst="rect">
          <a:avLst/>
        </a:prstGeom>
        <a:solidFill>
          <a:srgbClr val="FE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200" baseline="0">
              <a:solidFill>
                <a:srgbClr val="FF0000"/>
              </a:solidFill>
              <a:latin typeface="等线 Light" panose="02010600030101010101" charset="-122"/>
            </a:rPr>
            <a:t>此处省略每一个GPIO的描述，和GPIO0，GPIO40 相似的接口。</a:t>
          </a:r>
          <a:endParaRPr lang="zh-CN" altLang="en-US" sz="1200" baseline="0">
            <a:solidFill>
              <a:srgbClr val="FF0000"/>
            </a:solidFill>
            <a:latin typeface="等线 Light" panose="02010600030101010101" charset="-122"/>
          </a:endParaRPr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4108174" cy="292452"/>
    <xdr:sp>
      <xdr:nvSpPr>
        <xdr:cNvPr id="3" name="shape6"/>
        <xdr:cNvSpPr/>
      </xdr:nvSpPr>
      <xdr:spPr>
        <a:xfrm>
          <a:off x="9420225" y="5267325"/>
          <a:ext cx="4107815" cy="292100"/>
        </a:xfrm>
        <a:prstGeom prst="rect">
          <a:avLst/>
        </a:prstGeom>
        <a:solidFill>
          <a:srgbClr val="FEFF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200" baseline="0">
              <a:solidFill>
                <a:srgbClr val="FF0000"/>
              </a:solidFill>
              <a:latin typeface="+mn-lt"/>
              <a:ea typeface="+mn-ea"/>
            </a:rPr>
            <a:t>注意： GPIO0-40寄存器组，可以工作在VDD12D下。</a:t>
          </a:r>
          <a:endParaRPr lang="zh-CN" altLang="en-US" sz="1200" baseline="0">
            <a:solidFill>
              <a:srgbClr val="FF0000"/>
            </a:solidFill>
            <a:latin typeface="+mn-lt"/>
            <a:ea typeface="+mn-ea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03"/>
  <sheetViews>
    <sheetView tabSelected="1" zoomScale="85" zoomScaleNormal="85" workbookViewId="0">
      <pane ySplit="1" topLeftCell="A2" activePane="bottomLeft" state="frozen"/>
      <selection/>
      <selection pane="bottomLeft" activeCell="C145" sqref="C145"/>
    </sheetView>
  </sheetViews>
  <sheetFormatPr defaultColWidth="8.875" defaultRowHeight="15" customHeight="1" outlineLevelCol="6"/>
  <cols>
    <col min="1" max="1" width="6.625" style="51" customWidth="1"/>
    <col min="2" max="2" width="8.625" style="26" customWidth="1"/>
    <col min="3" max="3" width="28.625" style="26" customWidth="1"/>
    <col min="4" max="5" width="10.625" style="51" customWidth="1"/>
    <col min="6" max="6" width="50.625" style="52" customWidth="1"/>
    <col min="7" max="7" width="24.625" style="53" customWidth="1"/>
    <col min="8" max="10" width="12.625" style="51" customWidth="1"/>
    <col min="11" max="40" width="8.875" style="51"/>
  </cols>
  <sheetData>
    <row r="1" ht="30" customHeight="1" spans="1:7">
      <c r="B1" s="54" t="s">
        <v>0</v>
      </c>
      <c r="C1" s="54" t="s">
        <v>1</v>
      </c>
      <c r="D1" s="55" t="s">
        <v>2</v>
      </c>
      <c r="E1" s="55" t="s">
        <v>3</v>
      </c>
      <c r="F1" s="56" t="s">
        <v>4</v>
      </c>
      <c r="G1" s="57" t="s">
        <v>5</v>
      </c>
    </row>
    <row r="2" ht="28.5" customHeight="1" spans="1:7">
      <c r="A2" s="58"/>
      <c r="B2" s="59"/>
      <c r="C2" s="60" t="s">
        <v>6</v>
      </c>
      <c r="D2" s="61"/>
      <c r="E2" s="61"/>
      <c r="F2" s="62" t="s">
        <v>7</v>
      </c>
    </row>
    <row r="3" ht="100.5" customHeight="1" spans="1:7">
      <c r="B3" s="63" t="str">
        <f>IF(D3&lt;2,CONCATENATE("[",0,"]"),CONCATENATE("[",D3-1,":",0,"]"))</f>
        <v>[0]</v>
      </c>
      <c r="C3" s="11" t="s">
        <v>8</v>
      </c>
      <c r="D3" s="64">
        <v>1</v>
      </c>
      <c r="E3" s="117" t="s">
        <v>9</v>
      </c>
      <c r="F3" s="11" t="s">
        <v>10</v>
      </c>
    </row>
    <row r="4" ht="88.5" customHeight="1" spans="1:7">
      <c r="B4" s="63" t="str">
        <f>IF(D4&lt;2,CONCATENATE("[",SUM(D$3:D3),"]"),CONCATENATE("[",SUM(D$3:D3)+D4-1,":",SUM(D$3:D3),"]"))</f>
        <v>[1]</v>
      </c>
      <c r="C4" s="11" t="s">
        <v>11</v>
      </c>
      <c r="D4" s="64">
        <v>1</v>
      </c>
      <c r="E4" s="117" t="s">
        <v>12</v>
      </c>
      <c r="F4" s="66" t="s">
        <v>13</v>
      </c>
    </row>
    <row r="5" ht="73.5" customHeight="1" spans="1:7">
      <c r="B5" s="63" t="str">
        <f>IF(D5&lt;2,CONCATENATE("[",SUM(D$3:D4),"]"),CONCATENATE("[",SUM(D$3:D4)+D5-1,":",SUM(D$3:D4),"]"))</f>
        <v>[2]</v>
      </c>
      <c r="C5" s="11" t="s">
        <v>14</v>
      </c>
      <c r="D5" s="64">
        <v>1</v>
      </c>
      <c r="E5" s="117" t="s">
        <v>12</v>
      </c>
      <c r="F5" s="66" t="s">
        <v>15</v>
      </c>
    </row>
    <row r="6" ht="45" customHeight="1" spans="1:7">
      <c r="B6" s="63" t="str">
        <f>IF(D6&lt;2,CONCATENATE("[",SUM(D$3:D5),"]"),CONCATENATE("[",SUM(D$3:D5)+D6-1,":",SUM(D$3:D5),"]"))</f>
        <v>[3]</v>
      </c>
      <c r="C6" s="63" t="s">
        <v>16</v>
      </c>
      <c r="D6" s="64">
        <v>1</v>
      </c>
      <c r="E6" s="117" t="s">
        <v>9</v>
      </c>
      <c r="F6" s="67" t="s">
        <v>17</v>
      </c>
    </row>
    <row r="7" ht="45" customHeight="1" spans="1:7">
      <c r="B7" s="63" t="str">
        <f>IF(D7&lt;2,CONCATENATE("[",SUM(D$3:D6),"]"),CONCATENATE("[",SUM(D$3:D6)+D7-1,":",SUM(D$3:D6),"]"))</f>
        <v>[4]</v>
      </c>
      <c r="C7" s="63" t="s">
        <v>18</v>
      </c>
      <c r="D7" s="64">
        <v>1</v>
      </c>
      <c r="E7" s="117" t="s">
        <v>9</v>
      </c>
      <c r="F7" s="67" t="s">
        <v>19</v>
      </c>
    </row>
    <row r="8" ht="45" customHeight="1" spans="1:7">
      <c r="B8" s="63" t="str">
        <f>IF(D8&lt;2,CONCATENATE("[",SUM(D$3:D7),"]"),CONCATENATE("[",SUM(D$3:D7)+D8-1,":",SUM(D$3:D7),"]"))</f>
        <v>[5]</v>
      </c>
      <c r="C8" s="63" t="s">
        <v>20</v>
      </c>
      <c r="D8" s="64">
        <v>1</v>
      </c>
      <c r="E8" s="117" t="s">
        <v>9</v>
      </c>
      <c r="F8" s="67" t="s">
        <v>21</v>
      </c>
    </row>
    <row r="9" ht="45" customHeight="1" spans="1:7">
      <c r="B9" s="63" t="str">
        <f>IF(D9&lt;2,CONCATENATE("[",SUM(D$3:D8),"]"),CONCATENATE("[",SUM(D$3:D8)+D9-1,":",SUM(D$3:D8),"]"))</f>
        <v>[6]</v>
      </c>
      <c r="C9" s="63" t="s">
        <v>22</v>
      </c>
      <c r="D9" s="64">
        <v>1</v>
      </c>
      <c r="E9" s="117" t="s">
        <v>9</v>
      </c>
      <c r="F9" s="67" t="s">
        <v>23</v>
      </c>
    </row>
    <row r="10" ht="45" customHeight="1" spans="1:7">
      <c r="B10" s="63" t="str">
        <f>IF(D10&lt;2,CONCATENATE("[",SUM(D$3:D9),"]"),CONCATENATE("[",SUM(D$3:D9)+D10-1,":",SUM(D$3:D9),"]"))</f>
        <v>[7]</v>
      </c>
      <c r="C10" s="63" t="s">
        <v>24</v>
      </c>
      <c r="D10" s="64">
        <v>1</v>
      </c>
      <c r="E10" s="118" t="s">
        <v>12</v>
      </c>
      <c r="F10" s="67" t="s">
        <v>25</v>
      </c>
    </row>
    <row r="11" ht="73.5" customHeight="1" spans="1:7">
      <c r="B11" s="63" t="str">
        <f>IF(D11&lt;2,CONCATENATE("[",SUM(D$3:D10),"]"),CONCATENATE("[",SUM(D$3:D10)+D11-1,":",SUM(D$3:D10),"]"))</f>
        <v>[8]</v>
      </c>
      <c r="C11" s="68" t="s">
        <v>26</v>
      </c>
      <c r="D11" s="69">
        <v>1</v>
      </c>
      <c r="E11" s="117" t="s">
        <v>12</v>
      </c>
      <c r="F11" s="66" t="s">
        <v>27</v>
      </c>
    </row>
    <row r="12" ht="45" customHeight="1" spans="1:7">
      <c r="B12" s="63" t="str">
        <f>IF(D12&lt;2,CONCATENATE("[",SUM(D$3:D11),"]"),CONCATENATE("[",SUM(D$3:D11)+D12-1,":",SUM(D$3:D11),"]"))</f>
        <v>[9]</v>
      </c>
      <c r="C12" s="68" t="s">
        <v>28</v>
      </c>
      <c r="D12" s="69">
        <v>1</v>
      </c>
      <c r="E12" s="117" t="s">
        <v>12</v>
      </c>
      <c r="F12" s="66" t="s">
        <v>29</v>
      </c>
    </row>
    <row r="13" ht="60" customHeight="1" spans="1:7">
      <c r="B13" s="63" t="str">
        <f>IF(D13&lt;2,CONCATENATE("[",SUM(D$3:D12),"]"),CONCATENATE("[",SUM(D$3:D12)+D13-1,":",SUM(D$3:D12),"]"))</f>
        <v>[10]</v>
      </c>
      <c r="C13" s="68" t="s">
        <v>30</v>
      </c>
      <c r="D13" s="69">
        <v>1</v>
      </c>
      <c r="E13" s="117" t="s">
        <v>12</v>
      </c>
      <c r="F13" s="66" t="s">
        <v>31</v>
      </c>
    </row>
    <row r="14" ht="60" customHeight="1" spans="1:7">
      <c r="B14" s="63" t="str">
        <f>IF(D14&lt;2,CONCATENATE("[",SUM(D$3:D13),"]"),CONCATENATE("[",SUM(D$3:D13)+D14-1,":",SUM(D$3:D13),"]"))</f>
        <v>[11]</v>
      </c>
      <c r="C14" s="68" t="s">
        <v>32</v>
      </c>
      <c r="D14" s="69">
        <v>1</v>
      </c>
      <c r="E14" s="117" t="s">
        <v>12</v>
      </c>
      <c r="F14" s="66" t="s">
        <v>33</v>
      </c>
    </row>
    <row r="15" ht="45" customHeight="1" spans="1:7">
      <c r="B15" s="63" t="str">
        <f>IF(D15&lt;2,CONCATENATE("[",SUM(D$3:D14),"]"),CONCATENATE("[",SUM(D$3:D14)+D15-1,":",SUM(D$3:D14),"]"))</f>
        <v>[12]</v>
      </c>
      <c r="C15" s="68" t="s">
        <v>34</v>
      </c>
      <c r="D15" s="69">
        <v>1</v>
      </c>
      <c r="E15" s="117" t="s">
        <v>12</v>
      </c>
      <c r="F15" s="66" t="s">
        <v>35</v>
      </c>
    </row>
    <row r="16" ht="45" customHeight="1" spans="1:7">
      <c r="B16" s="63" t="str">
        <f>IF(D16&lt;2,CONCATENATE("[",SUM(D$3:D15),"]"),CONCATENATE("[",SUM(D$3:D15)+D16-1,":",SUM(D$3:D15),"]"))</f>
        <v>[13]</v>
      </c>
      <c r="C16" s="68" t="s">
        <v>36</v>
      </c>
      <c r="D16" s="69">
        <v>1</v>
      </c>
      <c r="E16" s="117" t="s">
        <v>12</v>
      </c>
      <c r="F16" s="66" t="s">
        <v>37</v>
      </c>
    </row>
    <row r="17" ht="60" customHeight="1" spans="2:6">
      <c r="B17" s="63" t="str">
        <f>IF(D17&lt;2,CONCATENATE("[",SUM(D$3:D16),"]"),CONCATENATE("[",SUM(D$3:D16)+D17-1,":",SUM(D$3:D16),"]"))</f>
        <v>[14]</v>
      </c>
      <c r="C17" s="63" t="s">
        <v>38</v>
      </c>
      <c r="D17" s="64">
        <v>1</v>
      </c>
      <c r="E17" s="118" t="s">
        <v>12</v>
      </c>
      <c r="F17" s="70" t="s">
        <v>39</v>
      </c>
    </row>
    <row r="18" ht="60" customHeight="1" spans="2:6">
      <c r="B18" s="63" t="str">
        <f>IF(D18&lt;2,CONCATENATE("[",SUM(D$3:D17),"]"),CONCATENATE("[",SUM(D$3:D17)+D18-1,":",SUM(D$3:D17),"]"))</f>
        <v>[15]</v>
      </c>
      <c r="C18" s="63" t="s">
        <v>40</v>
      </c>
      <c r="D18" s="64">
        <v>1</v>
      </c>
      <c r="E18" s="118" t="s">
        <v>12</v>
      </c>
      <c r="F18" s="70" t="s">
        <v>41</v>
      </c>
    </row>
    <row r="19" ht="60" customHeight="1" spans="2:6">
      <c r="B19" s="63" t="str">
        <f>IF(D19&lt;2,CONCATENATE("[",SUM(D$3:D18),"]"),CONCATENATE("[",SUM(D$3:D18)+D19-1,":",SUM(D$3:D18),"]"))</f>
        <v>[16]</v>
      </c>
      <c r="C19" s="63" t="s">
        <v>42</v>
      </c>
      <c r="D19" s="64">
        <v>1</v>
      </c>
      <c r="E19" s="118" t="s">
        <v>12</v>
      </c>
      <c r="F19" s="70" t="s">
        <v>43</v>
      </c>
    </row>
    <row r="20" ht="60" customHeight="1" spans="2:6">
      <c r="B20" s="63" t="str">
        <f>IF(D20&lt;2,CONCATENATE("[",SUM(D$3:D19),"]"),CONCATENATE("[",SUM(D$3:D19)+D20-1,":",SUM(D$3:D19),"]"))</f>
        <v>[17]</v>
      </c>
      <c r="C20" s="63" t="s">
        <v>44</v>
      </c>
      <c r="D20" s="64">
        <v>1</v>
      </c>
      <c r="E20" s="118" t="s">
        <v>12</v>
      </c>
      <c r="F20" s="67" t="s">
        <v>45</v>
      </c>
    </row>
    <row r="21" ht="75" customHeight="1" spans="2:6">
      <c r="B21" s="63" t="str">
        <f>IF(D21&lt;2,CONCATENATE("[",SUM(D$3:D20),"]"),CONCATENATE("[",SUM(D$3:D20)+D21-1,":",SUM(D$3:D20),"]"))</f>
        <v>[18]</v>
      </c>
      <c r="C21" s="63" t="s">
        <v>46</v>
      </c>
      <c r="D21" s="64">
        <v>1</v>
      </c>
      <c r="E21" s="118" t="s">
        <v>12</v>
      </c>
      <c r="F21" s="67" t="s">
        <v>47</v>
      </c>
    </row>
    <row r="22" ht="75" customHeight="1" spans="2:6">
      <c r="B22" s="63" t="str">
        <f>IF(D22&lt;2,CONCATENATE("[",SUM(D$3:D21),"]"),CONCATENATE("[",SUM(D$3:D21)+D22-1,":",SUM(D$3:D21),"]"))</f>
        <v>[19]</v>
      </c>
      <c r="C22" s="71" t="s">
        <v>48</v>
      </c>
      <c r="D22" s="64">
        <v>1</v>
      </c>
      <c r="E22" s="118" t="s">
        <v>12</v>
      </c>
      <c r="F22" s="67" t="s">
        <v>49</v>
      </c>
    </row>
    <row r="23" ht="60" customHeight="1" spans="2:6">
      <c r="B23" s="63" t="str">
        <f>IF(D23&lt;2,CONCATENATE("[",SUM(D$3:D22),"]"),CONCATENATE("[",SUM(D$3:D22)+D23-1,":",SUM(D$3:D22),"]"))</f>
        <v>[20]</v>
      </c>
      <c r="C23" s="63" t="s">
        <v>50</v>
      </c>
      <c r="D23" s="64">
        <v>1</v>
      </c>
      <c r="E23" s="118" t="s">
        <v>12</v>
      </c>
      <c r="F23" s="70" t="s">
        <v>51</v>
      </c>
    </row>
    <row r="24" ht="60" customHeight="1" spans="2:6">
      <c r="B24" s="63" t="str">
        <f>IF(D24&lt;2,CONCATENATE("[",SUM(D$3:D23),"]"),CONCATENATE("[",SUM(D$3:D23)+D24-1,":",SUM(D$3:D23),"]"))</f>
        <v>[21]</v>
      </c>
      <c r="C24" s="63" t="s">
        <v>52</v>
      </c>
      <c r="D24" s="64">
        <v>1</v>
      </c>
      <c r="E24" s="118" t="s">
        <v>12</v>
      </c>
      <c r="F24" s="70" t="s">
        <v>53</v>
      </c>
    </row>
    <row r="25" ht="60" customHeight="1" spans="2:6">
      <c r="B25" s="63" t="str">
        <f>IF(D25&lt;2,CONCATENATE("[",SUM(D$3:D24),"]"),CONCATENATE("[",SUM(D$3:D24)+D25-1,":",SUM(D$3:D24),"]"))</f>
        <v>[22]</v>
      </c>
      <c r="C25" s="63" t="s">
        <v>54</v>
      </c>
      <c r="D25" s="64">
        <v>1</v>
      </c>
      <c r="E25" s="118" t="s">
        <v>12</v>
      </c>
      <c r="F25" s="70" t="s">
        <v>55</v>
      </c>
    </row>
    <row r="26" ht="45" customHeight="1" spans="2:6">
      <c r="B26" s="63" t="str">
        <f>IF(D26&lt;2,CONCATENATE("[",SUM(D$3:D25),"]"),CONCATENATE("[",SUM(D$3:D25)+D26-1,":",SUM(D$3:D25),"]"))</f>
        <v>[23]</v>
      </c>
      <c r="C26" s="68" t="s">
        <v>56</v>
      </c>
      <c r="D26" s="64">
        <v>1</v>
      </c>
      <c r="E26" s="117" t="s">
        <v>9</v>
      </c>
      <c r="F26" s="66" t="s">
        <v>57</v>
      </c>
    </row>
    <row r="27" ht="45" customHeight="1" spans="2:6">
      <c r="B27" s="63" t="str">
        <f>IF(D27&lt;2,CONCATENATE("[",SUM(D$3:D26),"]"),CONCATENATE("[",SUM(D$3:D26)+D27-1,":",SUM(D$3:D26),"]"))</f>
        <v>[24]</v>
      </c>
      <c r="C27" s="68" t="s">
        <v>58</v>
      </c>
      <c r="D27" s="64">
        <v>1</v>
      </c>
      <c r="E27" s="117" t="s">
        <v>9</v>
      </c>
      <c r="F27" s="66" t="s">
        <v>59</v>
      </c>
    </row>
    <row r="28" ht="60" customHeight="1" spans="2:6">
      <c r="B28" s="63" t="str">
        <f>IF(D28&lt;2,CONCATENATE("[",SUM(D$3:D27),"]"),CONCATENATE("[",SUM(D$3:D27)+D28-1,":",SUM(D$3:D27),"]"))</f>
        <v>[25]</v>
      </c>
      <c r="C28" s="68" t="s">
        <v>60</v>
      </c>
      <c r="D28" s="69">
        <v>1</v>
      </c>
      <c r="E28" s="117" t="s">
        <v>9</v>
      </c>
      <c r="F28" s="66" t="s">
        <v>61</v>
      </c>
    </row>
    <row r="29" ht="45" customHeight="1" spans="2:6">
      <c r="B29" s="63" t="str">
        <f>IF(D29&lt;2,CONCATENATE("[",SUM(D$3:D28),"]"),CONCATENATE("[",SUM(D$3:D28)+D29-1,":",SUM(D$3:D28),"]"))</f>
        <v>[26]</v>
      </c>
      <c r="C29" s="68" t="s">
        <v>62</v>
      </c>
      <c r="D29" s="69">
        <v>1</v>
      </c>
      <c r="E29" s="117" t="s">
        <v>9</v>
      </c>
      <c r="F29" s="66" t="s">
        <v>63</v>
      </c>
    </row>
    <row r="30" ht="45" customHeight="1" spans="2:6">
      <c r="B30" s="63" t="str">
        <f>IF(D30&lt;2,CONCATENATE("[",SUM(D$3:D29),"]"),CONCATENATE("[",SUM(D$3:D29)+D30-1,":",SUM(D$3:D29),"]"))</f>
        <v>[27]</v>
      </c>
      <c r="C30" s="68" t="s">
        <v>64</v>
      </c>
      <c r="D30" s="69">
        <v>1</v>
      </c>
      <c r="E30" s="65">
        <v>1</v>
      </c>
      <c r="F30" s="72" t="s">
        <v>65</v>
      </c>
    </row>
    <row r="31" ht="45" customHeight="1" spans="2:6">
      <c r="B31" s="63" t="str">
        <f>IF(D31&lt;2,CONCATENATE("[",SUM(D$3:D30),"]"),CONCATENATE("[",SUM(D$3:D30)+D31-1,":",SUM(D$3:D30),"]"))</f>
        <v>[28]</v>
      </c>
      <c r="C31" s="68" t="s">
        <v>66</v>
      </c>
      <c r="D31" s="69">
        <v>1</v>
      </c>
      <c r="E31" s="65">
        <v>1</v>
      </c>
      <c r="F31" s="72" t="s">
        <v>67</v>
      </c>
    </row>
    <row r="32" ht="45" customHeight="1" spans="2:6">
      <c r="B32" s="63" t="str">
        <f>IF(D32&lt;2,CONCATENATE("[",SUM(D$3:D31),"]"),CONCATENATE("[",SUM(D$3:D31)+D32-1,":",SUM(D$3:D31),"]"))</f>
        <v>[29]</v>
      </c>
      <c r="C32" s="68" t="s">
        <v>68</v>
      </c>
      <c r="D32" s="69">
        <v>1</v>
      </c>
      <c r="E32" s="65">
        <v>0</v>
      </c>
      <c r="F32" s="72" t="s">
        <v>69</v>
      </c>
    </row>
    <row r="33" ht="28.5" customHeight="1" spans="1:6">
      <c r="B33" s="63" t="str">
        <f>IF(D33&lt;2,CONCATENATE("[",SUM(D$3:D32),"]"),CONCATENATE("[",SUM(D$3:D32)+D33-1,":",SUM(D$3:D32),"]"))</f>
        <v>[30]</v>
      </c>
      <c r="C33" s="68" t="s">
        <v>70</v>
      </c>
      <c r="D33" s="69">
        <v>1</v>
      </c>
      <c r="E33" s="65">
        <v>0</v>
      </c>
      <c r="F33" s="66" t="s">
        <v>71</v>
      </c>
    </row>
    <row r="34" customHeight="1" spans="1:6">
      <c r="B34" s="73"/>
      <c r="C34" s="74" t="s">
        <v>72</v>
      </c>
      <c r="D34" s="75">
        <f>SUM(D3:D33)</f>
        <v>31</v>
      </c>
      <c r="E34" s="76"/>
      <c r="F34" s="77"/>
    </row>
    <row r="35" customHeight="1" spans="1:6">
      <c r="A35" s="58"/>
      <c r="B35" s="59"/>
      <c r="C35" s="59" t="s">
        <v>73</v>
      </c>
      <c r="D35" s="61"/>
      <c r="E35" s="61"/>
      <c r="F35" s="78" t="s">
        <v>74</v>
      </c>
    </row>
    <row r="36" ht="72" spans="1:6">
      <c r="B36" s="63" t="str">
        <f>IF(D36&lt;2,CONCATENATE("[",0,"]"),CONCATENATE("[",D36-1,":",0,"]"))</f>
        <v>[1:0]</v>
      </c>
      <c r="C36" s="63" t="s">
        <v>75</v>
      </c>
      <c r="D36" s="64">
        <v>2</v>
      </c>
      <c r="E36" s="118" t="s">
        <v>76</v>
      </c>
      <c r="F36" s="79" t="s">
        <v>77</v>
      </c>
    </row>
    <row r="37" ht="28.8" spans="1:6">
      <c r="B37" s="63" t="str">
        <f>IF(D37&lt;2,CONCATENATE("[",SUM(D$36:D36),"]"),CONCATENATE("[",SUM(D$36:D36)+D37-1,":",SUM(D$36:D36),"]"))</f>
        <v>[2]</v>
      </c>
      <c r="C37" s="63" t="s">
        <v>78</v>
      </c>
      <c r="D37" s="64">
        <v>1</v>
      </c>
      <c r="E37" s="118" t="s">
        <v>12</v>
      </c>
      <c r="F37" s="79" t="s">
        <v>79</v>
      </c>
    </row>
    <row r="38" ht="72" spans="1:6">
      <c r="B38" s="63" t="str">
        <f>IF(D38&lt;2,CONCATENATE("[",SUM(D$36:D37),"]"),CONCATENATE("[",SUM(D$36:D37)+D38-1,":",SUM(D$36:D37),"]"))</f>
        <v>[4:3]</v>
      </c>
      <c r="C38" s="63" t="s">
        <v>80</v>
      </c>
      <c r="D38" s="64">
        <v>2</v>
      </c>
      <c r="E38" s="118" t="s">
        <v>81</v>
      </c>
      <c r="F38" s="79" t="s">
        <v>82</v>
      </c>
    </row>
    <row r="39" ht="28.8" spans="1:6">
      <c r="B39" s="63" t="str">
        <f>IF(D39&lt;2,CONCATENATE("[",SUM(D$36:D38),"]"),CONCATENATE("[",SUM(D$36:D38)+D39-1,":",SUM(D$36:D38),"]"))</f>
        <v>[5]</v>
      </c>
      <c r="C39" s="63" t="s">
        <v>83</v>
      </c>
      <c r="D39" s="64">
        <v>1</v>
      </c>
      <c r="E39" s="118" t="s">
        <v>12</v>
      </c>
      <c r="F39" s="79" t="s">
        <v>84</v>
      </c>
    </row>
    <row r="40" ht="28.8" spans="1:6">
      <c r="B40" s="63" t="str">
        <f>IF(D40&lt;2,CONCATENATE("[",SUM(D$36:D39),"]"),CONCATENATE("[",SUM(D$36:D39)+D40-1,":",SUM(D$36:D39),"]"))</f>
        <v>[6]</v>
      </c>
      <c r="C40" s="63" t="s">
        <v>85</v>
      </c>
      <c r="D40" s="64">
        <v>1</v>
      </c>
      <c r="E40" s="118" t="s">
        <v>12</v>
      </c>
      <c r="F40" s="79" t="s">
        <v>86</v>
      </c>
    </row>
    <row r="41" spans="1:6">
      <c r="B41" s="63" t="str">
        <f>IF(D41&lt;2,CONCATENATE("[",SUM(D$36:D40),"]"),CONCATENATE("[",SUM(D$36:D40)+D41-1,":",SUM(D$36:D40),"]"))</f>
        <v>[7]</v>
      </c>
      <c r="C41" s="68" t="s">
        <v>87</v>
      </c>
      <c r="D41" s="64">
        <v>1</v>
      </c>
      <c r="E41" s="64">
        <v>0</v>
      </c>
      <c r="F41" s="79" t="s">
        <v>88</v>
      </c>
    </row>
    <row r="42" ht="69.6" spans="1:6">
      <c r="B42" s="63" t="str">
        <f>IF(D42&lt;2,CONCATENATE("[",SUM(D$36:D41),"]"),CONCATENATE("[",SUM(D$36:D41)+D42-1,":",SUM(D$36:D41),"]"))</f>
        <v>[9:8]</v>
      </c>
      <c r="C42" s="63" t="s">
        <v>89</v>
      </c>
      <c r="D42" s="64">
        <v>2</v>
      </c>
      <c r="E42" s="118" t="s">
        <v>76</v>
      </c>
      <c r="F42" s="79" t="s">
        <v>90</v>
      </c>
    </row>
    <row r="43" ht="28.8" spans="1:6">
      <c r="B43" s="63" t="str">
        <f>IF(D43&lt;2,CONCATENATE("[",SUM(D$36:D42),"]"),CONCATENATE("[",SUM(D$36:D42)+D43-1,":",SUM(D$36:D42),"]"))</f>
        <v>[10]</v>
      </c>
      <c r="C43" s="63" t="s">
        <v>91</v>
      </c>
      <c r="D43" s="64">
        <v>1</v>
      </c>
      <c r="E43" s="118" t="s">
        <v>12</v>
      </c>
      <c r="F43" s="79" t="s">
        <v>92</v>
      </c>
    </row>
    <row r="44" ht="69.6" spans="1:6">
      <c r="B44" s="63" t="str">
        <f>IF(D44&lt;2,CONCATENATE("[",SUM(D$36:D43),"]"),CONCATENATE("[",SUM(D$36:D43)+D44-1,":",SUM(D$36:D43),"]"))</f>
        <v>[12:11]</v>
      </c>
      <c r="C44" s="63" t="s">
        <v>93</v>
      </c>
      <c r="D44" s="64">
        <v>2</v>
      </c>
      <c r="E44" s="118" t="s">
        <v>81</v>
      </c>
      <c r="F44" s="80" t="s">
        <v>94</v>
      </c>
    </row>
    <row r="45" ht="28.8" spans="1:6">
      <c r="B45" s="63" t="str">
        <f>IF(D45&lt;2,CONCATENATE("[",SUM(D$36:D44),"]"),CONCATENATE("[",SUM(D$36:D44)+D45-1,":",SUM(D$36:D44),"]"))</f>
        <v>[13]</v>
      </c>
      <c r="C45" s="63" t="s">
        <v>95</v>
      </c>
      <c r="D45" s="64">
        <v>1</v>
      </c>
      <c r="E45" s="118" t="s">
        <v>12</v>
      </c>
      <c r="F45" s="80" t="s">
        <v>96</v>
      </c>
    </row>
    <row r="46" ht="28.8" spans="1:6">
      <c r="B46" s="63" t="str">
        <f>IF(D46&lt;2,CONCATENATE("[",SUM(D$36:D45),"]"),CONCATENATE("[",SUM(D$36:D45)+D46-1,":",SUM(D$36:D45),"]"))</f>
        <v>[14]</v>
      </c>
      <c r="C46" s="63" t="s">
        <v>97</v>
      </c>
      <c r="D46" s="64">
        <v>1</v>
      </c>
      <c r="E46" s="118" t="s">
        <v>12</v>
      </c>
      <c r="F46" s="80" t="s">
        <v>98</v>
      </c>
    </row>
    <row r="47" spans="1:6">
      <c r="B47" s="63" t="str">
        <f>IF(D47&lt;2,CONCATENATE("[",SUM(D$36:D46),"]"),CONCATENATE("[",SUM(D$36:D46)+D47-1,":",SUM(D$36:D46),"]"))</f>
        <v>[15]</v>
      </c>
      <c r="C47" s="68" t="s">
        <v>87</v>
      </c>
      <c r="D47" s="64">
        <v>1</v>
      </c>
      <c r="E47" s="64">
        <v>0</v>
      </c>
      <c r="F47" s="81" t="s">
        <v>88</v>
      </c>
    </row>
    <row r="48" ht="72" spans="1:6">
      <c r="B48" s="63" t="str">
        <f>IF(D48&lt;2,CONCATENATE("[",SUM(D$36:D47),"]"),CONCATENATE("[",SUM(D$36:D47)+D48-1,":",SUM(D$36:D47),"]"))</f>
        <v>[17:16]</v>
      </c>
      <c r="C48" s="63" t="s">
        <v>99</v>
      </c>
      <c r="D48" s="64">
        <v>2</v>
      </c>
      <c r="E48" s="118" t="s">
        <v>81</v>
      </c>
      <c r="F48" s="80" t="s">
        <v>100</v>
      </c>
    </row>
    <row r="49" ht="28.8" spans="1:6">
      <c r="B49" s="63" t="str">
        <f>IF(D49&lt;2,CONCATENATE("[",SUM(D$36:D48),"]"),CONCATENATE("[",SUM(D$36:D48)+D49-1,":",SUM(D$36:D48),"]"))</f>
        <v>[18]</v>
      </c>
      <c r="C49" s="63" t="s">
        <v>101</v>
      </c>
      <c r="D49" s="64">
        <v>1</v>
      </c>
      <c r="E49" s="118" t="s">
        <v>12</v>
      </c>
      <c r="F49" s="80" t="s">
        <v>102</v>
      </c>
    </row>
    <row r="50" ht="57.6" spans="1:6">
      <c r="B50" s="63" t="str">
        <f>IF(D50&lt;2,CONCATENATE("[",SUM(D$36:D48),"]"),CONCATENATE("[",SUM(D$36:D48)+D50-1,":",SUM(D$36:D48),"]"))</f>
        <v>[18]</v>
      </c>
      <c r="C50" s="63" t="s">
        <v>103</v>
      </c>
      <c r="D50" s="64">
        <v>1</v>
      </c>
      <c r="E50" s="64">
        <v>0</v>
      </c>
      <c r="F50" s="82" t="s">
        <v>104</v>
      </c>
    </row>
    <row r="51" ht="28.8" spans="1:6">
      <c r="B51" s="63" t="str">
        <f>IF(D51&lt;2,CONCATENATE("[",SUM(D$36:D49),"]"),CONCATENATE("[",SUM(D$36:D49)+D51-1,":",SUM(D$36:D49),"]"))</f>
        <v>[20:19]</v>
      </c>
      <c r="C51" s="68" t="s">
        <v>105</v>
      </c>
      <c r="D51" s="69">
        <v>2</v>
      </c>
      <c r="E51" s="117" t="s">
        <v>106</v>
      </c>
      <c r="F51" s="66" t="s">
        <v>71</v>
      </c>
    </row>
    <row r="52" customHeight="1" spans="1:6">
      <c r="B52" s="63"/>
      <c r="C52" s="74" t="s">
        <v>72</v>
      </c>
      <c r="D52" s="75">
        <f>SUM(D36:D51)</f>
        <v>22</v>
      </c>
      <c r="E52" s="64"/>
      <c r="F52" s="70"/>
    </row>
    <row r="53" customHeight="1" spans="1:6">
      <c r="A53" s="58"/>
      <c r="B53" s="59"/>
      <c r="C53" s="60" t="s">
        <v>107</v>
      </c>
      <c r="D53" s="61"/>
      <c r="E53" s="61"/>
      <c r="F53" s="62" t="s">
        <v>108</v>
      </c>
    </row>
    <row r="54" ht="125.4" spans="1:6">
      <c r="B54" s="63" t="str">
        <f>IF(D54&lt;2,CONCATENATE("[",0,"]"),CONCATENATE("[",D54-1,":",0,"]"))</f>
        <v>[2:0]</v>
      </c>
      <c r="C54" s="63" t="s">
        <v>109</v>
      </c>
      <c r="D54" s="64">
        <v>3</v>
      </c>
      <c r="E54" s="119" t="s">
        <v>110</v>
      </c>
      <c r="F54" s="80" t="s">
        <v>111</v>
      </c>
    </row>
    <row r="55" ht="28.8" spans="1:6">
      <c r="B55" s="63" t="str">
        <f>IF(D55&lt;2,CONCATENATE("[",SUM(D$54:D54),"]"),CONCATENATE("[",SUM(D$54:D54)+D55-1,":",SUM(D$54:D54),"]"))</f>
        <v>[3]</v>
      </c>
      <c r="C55" s="63" t="s">
        <v>112</v>
      </c>
      <c r="D55" s="64">
        <v>1</v>
      </c>
      <c r="E55" s="119" t="s">
        <v>12</v>
      </c>
      <c r="F55" s="80" t="s">
        <v>113</v>
      </c>
    </row>
    <row r="56" ht="70.2" spans="1:6">
      <c r="B56" s="63" t="str">
        <f>IF(D56&lt;2,CONCATENATE("[",SUM(D$54:D55),"]"),CONCATENATE("[",SUM(D$54:D55)+D56-1,":",SUM(D$54:D55),"]"))</f>
        <v>[5:4]</v>
      </c>
      <c r="C56" s="71" t="s">
        <v>114</v>
      </c>
      <c r="D56" s="64">
        <v>2</v>
      </c>
      <c r="E56" s="119" t="s">
        <v>81</v>
      </c>
      <c r="F56" s="83" t="s">
        <v>115</v>
      </c>
    </row>
    <row r="57" ht="28.8" spans="1:6">
      <c r="B57" s="63" t="str">
        <f>IF(D57&lt;2,CONCATENATE("[",SUM(D$54:D56),"]"),CONCATENATE("[",SUM(D$54:D56)+D57-1,":",SUM(D$54:D56),"]"))</f>
        <v>[6]</v>
      </c>
      <c r="C57" s="63" t="s">
        <v>116</v>
      </c>
      <c r="D57" s="64">
        <v>1</v>
      </c>
      <c r="E57" s="119" t="s">
        <v>12</v>
      </c>
      <c r="F57" s="80" t="s">
        <v>117</v>
      </c>
    </row>
    <row r="58" ht="28.8" spans="1:6">
      <c r="B58" s="63" t="str">
        <f>IF(D58&lt;2,CONCATENATE("[",SUM(D$54:D57),"]"),CONCATENATE("[",SUM(D$54:D57)+D58-1,":",SUM(D$54:D57),"]"))</f>
        <v>[7]</v>
      </c>
      <c r="C58" s="63" t="s">
        <v>118</v>
      </c>
      <c r="D58" s="64">
        <v>1</v>
      </c>
      <c r="E58" s="119" t="s">
        <v>12</v>
      </c>
      <c r="F58" s="80" t="s">
        <v>119</v>
      </c>
    </row>
    <row r="59" ht="124.8" spans="1:6">
      <c r="B59" s="63" t="str">
        <f>IF(D59&lt;2,CONCATENATE("[",SUM(D$54:D58),"]"),CONCATENATE("[",SUM(D$54:D58)+D59-1,":",SUM(D$54:D58),"]"))</f>
        <v>[10:8]</v>
      </c>
      <c r="C59" s="63" t="s">
        <v>120</v>
      </c>
      <c r="D59" s="64">
        <v>3</v>
      </c>
      <c r="E59" s="119" t="s">
        <v>110</v>
      </c>
      <c r="F59" s="83" t="s">
        <v>121</v>
      </c>
    </row>
    <row r="60" ht="28.8" spans="1:6">
      <c r="B60" s="63" t="str">
        <f>IF(D60&lt;2,CONCATENATE("[",SUM(D$54:D59),"]"),CONCATENATE("[",SUM(D$54:D59)+D60-1,":",SUM(D$54:D59),"]"))</f>
        <v>[11]</v>
      </c>
      <c r="C60" s="71" t="s">
        <v>122</v>
      </c>
      <c r="D60" s="64">
        <v>1</v>
      </c>
      <c r="E60" s="119" t="s">
        <v>12</v>
      </c>
      <c r="F60" s="84" t="s">
        <v>123</v>
      </c>
    </row>
    <row r="61" ht="69.6" spans="1:6">
      <c r="B61" s="63" t="str">
        <f>IF(D61&lt;2,CONCATENATE("[",SUM(D$54:D60),"]"),CONCATENATE("[",SUM(D$54:D60)+D61-1,":",SUM(D$54:D60),"]"))</f>
        <v>[13:12]</v>
      </c>
      <c r="C61" s="63" t="s">
        <v>124</v>
      </c>
      <c r="D61" s="64">
        <v>2</v>
      </c>
      <c r="E61" s="119" t="s">
        <v>81</v>
      </c>
      <c r="F61" s="83" t="s">
        <v>125</v>
      </c>
    </row>
    <row r="62" ht="28.8" spans="1:6">
      <c r="B62" s="63" t="str">
        <f>IF(D62&lt;2,CONCATENATE("[",SUM(D$54:D61),"]"),CONCATENATE("[",SUM(D$54:D61)+D62-1,":",SUM(D$54:D61),"]"))</f>
        <v>[14]</v>
      </c>
      <c r="C62" s="63" t="s">
        <v>126</v>
      </c>
      <c r="D62" s="64">
        <v>1</v>
      </c>
      <c r="E62" s="119" t="s">
        <v>12</v>
      </c>
      <c r="F62" s="80" t="s">
        <v>127</v>
      </c>
    </row>
    <row r="63" ht="28.8" spans="1:6">
      <c r="B63" s="63" t="str">
        <f>IF(D63&lt;2,CONCATENATE("[",SUM(D$54:D61),"]"),CONCATENATE("[",SUM(D$54:D61)+D63-1,":",SUM(D$54:D61),"]"))</f>
        <v>[14]</v>
      </c>
      <c r="C63" s="63" t="s">
        <v>128</v>
      </c>
      <c r="D63" s="64">
        <v>1</v>
      </c>
      <c r="E63" s="119" t="s">
        <v>12</v>
      </c>
      <c r="F63" s="80" t="s">
        <v>129</v>
      </c>
    </row>
    <row r="64" ht="28.8" spans="1:6">
      <c r="B64" s="63" t="str">
        <f>IF(D64&lt;2,CONCATENATE("[",SUM(D$54:D62),"]"),CONCATENATE("[",SUM(D$54:D62)+D64-1,":",SUM(D$54:D62),"]"))</f>
        <v>[16:15]</v>
      </c>
      <c r="C64" s="68" t="s">
        <v>130</v>
      </c>
      <c r="D64" s="69">
        <v>2</v>
      </c>
      <c r="E64" s="117" t="s">
        <v>106</v>
      </c>
      <c r="F64" s="85" t="s">
        <v>131</v>
      </c>
    </row>
    <row r="65" customHeight="1" spans="1:6">
      <c r="B65" s="63"/>
      <c r="C65" s="74" t="s">
        <v>72</v>
      </c>
      <c r="D65" s="75">
        <f>SUM(D54:D64)</f>
        <v>18</v>
      </c>
      <c r="E65" s="64"/>
      <c r="F65" s="70"/>
    </row>
    <row r="66" customHeight="1" spans="1:6">
      <c r="A66" s="58"/>
      <c r="B66" s="59"/>
      <c r="C66" s="60" t="s">
        <v>132</v>
      </c>
      <c r="D66" s="61"/>
      <c r="E66" s="61"/>
      <c r="F66" s="78" t="s">
        <v>133</v>
      </c>
    </row>
    <row r="67" ht="28.8" spans="1:6">
      <c r="B67" s="63" t="str">
        <f>IF(D67&lt;2,CONCATENATE("[",0,"]"),CONCATENATE("[",D67-1,":",0,"]"))</f>
        <v>[0]</v>
      </c>
      <c r="C67" s="63" t="s">
        <v>134</v>
      </c>
      <c r="D67" s="64">
        <v>1</v>
      </c>
      <c r="E67" s="118" t="s">
        <v>12</v>
      </c>
      <c r="F67" s="80" t="s">
        <v>135</v>
      </c>
    </row>
    <row r="68" ht="28.8" spans="1:6">
      <c r="B68" s="63" t="str">
        <f>IF(D68&lt;2,CONCATENATE("[",SUM(D$67:D67),"]"),CONCATENATE("[",SUM(D$67:D67)+D68-1,":",SUM(D$67:D67),"]"))</f>
        <v>[1]</v>
      </c>
      <c r="C68" s="63" t="s">
        <v>136</v>
      </c>
      <c r="D68" s="64">
        <v>1</v>
      </c>
      <c r="E68" s="118" t="s">
        <v>12</v>
      </c>
      <c r="F68" s="80" t="s">
        <v>137</v>
      </c>
    </row>
    <row r="69" ht="28.8" spans="1:6">
      <c r="B69" s="63" t="str">
        <f>IF(D69&lt;2,CONCATENATE("[",SUM(D$67:D68),"]"),CONCATENATE("[",SUM(D$67:D68)+D69-1,":",SUM(D$67:D68),"]"))</f>
        <v>[2]</v>
      </c>
      <c r="C69" s="63" t="s">
        <v>138</v>
      </c>
      <c r="D69" s="64">
        <v>1</v>
      </c>
      <c r="E69" s="118" t="s">
        <v>9</v>
      </c>
      <c r="F69" s="80" t="s">
        <v>139</v>
      </c>
    </row>
    <row r="70" ht="86.4" spans="1:6">
      <c r="B70" s="63" t="str">
        <f>IF(D70&lt;2,CONCATENATE("[",SUM(D$67:D69),"]"),CONCATENATE("[",SUM(D$67:D69)+D70-1,":",SUM(D$67:D69),"]"))</f>
        <v>[6:3]</v>
      </c>
      <c r="C70" s="63" t="s">
        <v>140</v>
      </c>
      <c r="D70" s="64">
        <v>4</v>
      </c>
      <c r="E70" s="119" t="s">
        <v>141</v>
      </c>
      <c r="F70" s="83" t="s">
        <v>142</v>
      </c>
    </row>
    <row r="71" ht="99" spans="1:6">
      <c r="B71" s="63" t="str">
        <f>IF(D71&lt;2,CONCATENATE("[",SUM(D$67:D70),"]"),CONCATENATE("[",SUM(D$67:D70)+D71-1,":",SUM(D$67:D70),"]"))</f>
        <v>[11:7]</v>
      </c>
      <c r="C71" s="71" t="s">
        <v>143</v>
      </c>
      <c r="D71" s="64">
        <v>5</v>
      </c>
      <c r="E71" s="119" t="s">
        <v>144</v>
      </c>
      <c r="F71" s="86" t="s">
        <v>145</v>
      </c>
    </row>
    <row r="72" ht="138.6" spans="1:6">
      <c r="B72" s="63" t="str">
        <f>IF(D72&lt;2,CONCATENATE("[",SUM(D$67:D71),"]"),CONCATENATE("[",SUM(D$67:D71)+D72-1,":",SUM(D$67:D71),"]"))</f>
        <v>[14:12]</v>
      </c>
      <c r="C72" s="63" t="s">
        <v>146</v>
      </c>
      <c r="D72" s="64">
        <v>3</v>
      </c>
      <c r="E72" s="119" t="s">
        <v>147</v>
      </c>
      <c r="F72" s="80" t="s">
        <v>148</v>
      </c>
    </row>
    <row r="73" ht="72" spans="1:6">
      <c r="B73" s="63" t="str">
        <f>IF(D73&lt;2,CONCATENATE("[",SUM(D$67:D72),"]"),CONCATENATE("[",SUM(D$67:D72)+D73-1,":",SUM(D$67:D72),"]"))</f>
        <v>[16:15]</v>
      </c>
      <c r="C73" s="63" t="s">
        <v>149</v>
      </c>
      <c r="D73" s="64">
        <v>2</v>
      </c>
      <c r="E73" s="118" t="s">
        <v>150</v>
      </c>
      <c r="F73" s="80" t="s">
        <v>151</v>
      </c>
    </row>
    <row r="74" ht="28.8" spans="1:6">
      <c r="B74" s="63" t="str">
        <f>IF(D74&lt;2,CONCATENATE("[",SUM(D$67:D73),"]"),CONCATENATE("[",SUM(D$67:D73)+D74-1,":",SUM(D$67:D73),"]"))</f>
        <v>[17]</v>
      </c>
      <c r="C74" s="63" t="s">
        <v>152</v>
      </c>
      <c r="D74" s="64">
        <v>1</v>
      </c>
      <c r="E74" s="118" t="s">
        <v>12</v>
      </c>
      <c r="F74" s="83" t="s">
        <v>153</v>
      </c>
    </row>
    <row r="75" ht="28.8" spans="1:6">
      <c r="B75" s="63" t="str">
        <f>IF(D75&lt;2,CONCATENATE("[",SUM(D$67:D74),"]"),CONCATENATE("[",SUM(D$67:D74)+D75-1,":",SUM(D$67:D74),"]"))</f>
        <v>[18]</v>
      </c>
      <c r="C75" s="71" t="s">
        <v>154</v>
      </c>
      <c r="D75" s="51">
        <v>1</v>
      </c>
      <c r="E75" s="118" t="s">
        <v>12</v>
      </c>
      <c r="F75" s="86" t="s">
        <v>155</v>
      </c>
    </row>
    <row r="76" ht="28.8" spans="1:6">
      <c r="B76" s="63" t="str">
        <f>IF(D76&lt;2,CONCATENATE("[",SUM(D$67:D75),"]"),CONCATENATE("[",SUM(D$67:D75)+D76-1,":",SUM(D$67:D75),"]"))</f>
        <v>[19]</v>
      </c>
      <c r="C76" s="63" t="s">
        <v>156</v>
      </c>
      <c r="D76" s="64">
        <v>1</v>
      </c>
      <c r="E76" s="118" t="s">
        <v>12</v>
      </c>
      <c r="F76" s="80" t="s">
        <v>157</v>
      </c>
    </row>
    <row r="77" ht="28.8" spans="1:6">
      <c r="B77" s="63" t="str">
        <f>IF(D77&lt;2,CONCATENATE("[",SUM(D$67:D76),"]"),CONCATENATE("[",SUM(D$67:D76)+D77-1,":",SUM(D$67:D76),"]"))</f>
        <v>[20]</v>
      </c>
      <c r="C77" s="63" t="s">
        <v>158</v>
      </c>
      <c r="D77" s="64">
        <v>1</v>
      </c>
      <c r="E77" s="118" t="s">
        <v>12</v>
      </c>
      <c r="F77" s="80" t="s">
        <v>159</v>
      </c>
    </row>
    <row r="78" ht="69.6" spans="1:6">
      <c r="B78" s="63" t="str">
        <f>IF(D78&lt;2,CONCATENATE("[",SUM(D$67:D77),"]"),CONCATENATE("[",SUM(D$67:D77)+D78-1,":",SUM(D$67:D77),"]"))</f>
        <v>[22:21]</v>
      </c>
      <c r="C78" s="63" t="s">
        <v>160</v>
      </c>
      <c r="D78" s="64">
        <v>2</v>
      </c>
      <c r="E78" s="118" t="s">
        <v>81</v>
      </c>
      <c r="F78" s="83" t="s">
        <v>161</v>
      </c>
    </row>
    <row r="79" ht="28.8" spans="1:6">
      <c r="B79" s="63" t="str">
        <f>IF(D79&lt;2,CONCATENATE("[",SUM(D$67:D78),"]"),CONCATENATE("[",SUM(D$67:D78)+D79-1,":",SUM(D$67:D78),"]"))</f>
        <v>[23]</v>
      </c>
      <c r="C79" s="63" t="s">
        <v>162</v>
      </c>
      <c r="D79" s="51">
        <v>1</v>
      </c>
      <c r="E79" s="118" t="s">
        <v>12</v>
      </c>
      <c r="F79" s="86" t="s">
        <v>163</v>
      </c>
    </row>
    <row r="80" ht="28.8" spans="1:6">
      <c r="B80" s="63" t="str">
        <f>IF(D80&lt;2,CONCATENATE("[",SUM(D$67:D79),"]"),CONCATENATE("[",SUM(D$67:D79)+D80-1,":",SUM(D$67:D79),"]"))</f>
        <v>[24]</v>
      </c>
      <c r="C80" s="63" t="s">
        <v>164</v>
      </c>
      <c r="D80" s="87">
        <v>1</v>
      </c>
      <c r="E80" s="120" t="s">
        <v>12</v>
      </c>
      <c r="F80" s="80" t="s">
        <v>165</v>
      </c>
    </row>
    <row r="81" ht="28.8" spans="1:6">
      <c r="B81" s="88" t="str">
        <f>IF(D81&lt;2,CONCATENATE("[",SUM(D$67:D80),"]"),CONCATENATE("[",SUM(D$67:D80)+D81-1,":",SUM(D$67:D80),"]"))</f>
        <v>[25]</v>
      </c>
      <c r="C81" s="89" t="s">
        <v>166</v>
      </c>
      <c r="D81" s="90">
        <v>1</v>
      </c>
      <c r="E81" s="121" t="s">
        <v>12</v>
      </c>
      <c r="F81" s="91" t="s">
        <v>167</v>
      </c>
    </row>
    <row r="82" spans="1:6">
      <c r="B82" s="63" t="str">
        <f>IF(D82&lt;2,CONCATENATE("[",SUM(D$67:D81),"]"),CONCATENATE("[",SUM(D$67:D81)+D82-1,":",SUM(D$67:D81),"]"))</f>
        <v>[26]</v>
      </c>
      <c r="C82" s="63" t="s">
        <v>168</v>
      </c>
      <c r="D82" s="51">
        <v>1</v>
      </c>
      <c r="E82" s="122" t="s">
        <v>12</v>
      </c>
      <c r="F82" s="80" t="s">
        <v>169</v>
      </c>
    </row>
    <row r="83" ht="28.8" spans="1:6">
      <c r="B83" s="63" t="str">
        <f>IF(D83&lt;2,CONCATENATE("[",SUM(D$67:D82),"]"),CONCATENATE("[",SUM(D$67:D82)+D83-1,":",SUM(D$67:D82),"]"))</f>
        <v>[28:27]</v>
      </c>
      <c r="C83" s="63" t="s">
        <v>170</v>
      </c>
      <c r="D83" s="64">
        <v>2</v>
      </c>
      <c r="E83" s="119" t="s">
        <v>150</v>
      </c>
      <c r="F83" s="80" t="s">
        <v>171</v>
      </c>
    </row>
    <row r="84" ht="28.5" customHeight="1" spans="1:6">
      <c r="B84" s="63" t="str">
        <f>IF(D84&lt;2,CONCATENATE("[",SUM(D$67:D83),"]"),CONCATENATE("[",SUM(D$67:D83)+D84-1,":",SUM(D$67:D83),"]"))</f>
        <v>[29]</v>
      </c>
      <c r="C84" s="63" t="s">
        <v>172</v>
      </c>
      <c r="D84" s="64">
        <v>1</v>
      </c>
      <c r="E84" s="119" t="s">
        <v>9</v>
      </c>
      <c r="F84" s="70" t="s">
        <v>173</v>
      </c>
    </row>
    <row r="85" customHeight="1" spans="1:6">
      <c r="B85" s="63"/>
      <c r="C85" s="74" t="s">
        <v>72</v>
      </c>
      <c r="D85" s="75">
        <f>SUM(D67:D84)</f>
        <v>30</v>
      </c>
      <c r="E85" s="64"/>
      <c r="F85" s="70"/>
    </row>
    <row r="86" customHeight="1" spans="1:6">
      <c r="A86" s="58"/>
      <c r="B86" s="59"/>
      <c r="C86" s="60" t="s">
        <v>174</v>
      </c>
      <c r="D86" s="61"/>
      <c r="E86" s="61"/>
      <c r="F86" s="62" t="s">
        <v>175</v>
      </c>
    </row>
    <row r="87" ht="28.8" spans="1:6">
      <c r="B87" s="63" t="str">
        <f>IF(D87&lt;2,CONCATENATE("[",0,"]"),CONCATENATE("[",D87-1,":",0,"]"))</f>
        <v>[0]</v>
      </c>
      <c r="C87" s="63" t="s">
        <v>176</v>
      </c>
      <c r="D87" s="64">
        <v>1</v>
      </c>
      <c r="E87" s="119" t="s">
        <v>9</v>
      </c>
      <c r="F87" s="80" t="s">
        <v>177</v>
      </c>
    </row>
    <row r="88" ht="72" spans="1:6">
      <c r="B88" s="63" t="str">
        <f>IF(D88&lt;2,CONCATENATE("[",SUM(D$87:D87),"]"),CONCATENATE("[",SUM(D$87:D87)+D88-1,":",SUM(D$87:D87),"]"))</f>
        <v>[2:1]</v>
      </c>
      <c r="C88" s="63" t="s">
        <v>178</v>
      </c>
      <c r="D88" s="64">
        <v>2</v>
      </c>
      <c r="E88" s="118" t="s">
        <v>106</v>
      </c>
      <c r="F88" s="80" t="s">
        <v>179</v>
      </c>
    </row>
    <row r="89" ht="72" spans="1:6">
      <c r="B89" s="63" t="str">
        <f>IF(D89&lt;2,CONCATENATE("[",SUM(D$87:D88),"]"),CONCATENATE("[",SUM(D$87:D88)+D89-1,":",SUM(D$87:D88),"]"))</f>
        <v>[4:3]</v>
      </c>
      <c r="C89" s="63" t="s">
        <v>180</v>
      </c>
      <c r="D89" s="64">
        <v>2</v>
      </c>
      <c r="E89" s="118" t="s">
        <v>106</v>
      </c>
      <c r="F89" s="83" t="s">
        <v>181</v>
      </c>
    </row>
    <row r="90" ht="144" spans="1:6">
      <c r="B90" s="63" t="str">
        <f>IF(D90&lt;2,CONCATENATE("[",SUM(D$87:D89),"]"),CONCATENATE("[",SUM(D$87:D89)+D90-1,":",SUM(D$87:D89),"]"))</f>
        <v>[7:5]</v>
      </c>
      <c r="C90" s="71" t="s">
        <v>182</v>
      </c>
      <c r="D90" s="64">
        <v>3</v>
      </c>
      <c r="E90" s="118" t="s">
        <v>183</v>
      </c>
      <c r="F90" s="86" t="s">
        <v>184</v>
      </c>
    </row>
    <row r="91" ht="302.4" spans="1:6">
      <c r="B91" s="63" t="str">
        <f>IF(D91&lt;2,CONCATENATE("[",SUM(D$87:D90),"]"),CONCATENATE("[",SUM(D$87:D90)+D91-1,":",SUM(D$87:D90),"]"))</f>
        <v>[12:8]</v>
      </c>
      <c r="C91" s="68" t="s">
        <v>185</v>
      </c>
      <c r="D91" s="69">
        <v>5</v>
      </c>
      <c r="E91" s="119" t="s">
        <v>186</v>
      </c>
      <c r="F91" s="82" t="s">
        <v>187</v>
      </c>
    </row>
    <row r="92" ht="28.8" spans="1:6">
      <c r="B92" s="63" t="str">
        <f>IF(D92&lt;2,CONCATENATE("[",SUM(D$87:D91),"]"),CONCATENATE("[",SUM(D$87:D91)+D92-1,":",SUM(D$87:D91),"]"))</f>
        <v>[13]</v>
      </c>
      <c r="C92" s="63" t="s">
        <v>188</v>
      </c>
      <c r="D92" s="64">
        <v>1</v>
      </c>
      <c r="E92" s="119" t="s">
        <v>12</v>
      </c>
      <c r="F92" s="83" t="s">
        <v>189</v>
      </c>
    </row>
    <row r="93" ht="28.8" spans="1:6">
      <c r="B93" s="63" t="str">
        <f>IF(D93&lt;2,CONCATENATE("[",SUM(D$87:D92),"]"),CONCATENATE("[",SUM(D$87:D92)+D93-1,":",SUM(D$87:D92),"]"))</f>
        <v>[14]</v>
      </c>
      <c r="C93" s="63" t="s">
        <v>190</v>
      </c>
      <c r="D93" s="64">
        <v>1</v>
      </c>
      <c r="E93" s="119" t="s">
        <v>9</v>
      </c>
      <c r="F93" s="83" t="s">
        <v>191</v>
      </c>
    </row>
    <row r="94" spans="1:6">
      <c r="B94" s="63" t="str">
        <f>IF(D94&lt;2,CONCATENATE("[",SUM(D$87:D93),"]"),CONCATENATE("[",SUM(D$87:D93)+D94-1,":",SUM(D$87:D93),"]"))</f>
        <v>[22:15]</v>
      </c>
      <c r="C94" s="71" t="s">
        <v>192</v>
      </c>
      <c r="D94" s="64">
        <v>8</v>
      </c>
      <c r="E94" s="118" t="s">
        <v>193</v>
      </c>
      <c r="F94" s="86" t="s">
        <v>194</v>
      </c>
    </row>
    <row r="95" ht="144" spans="1:6">
      <c r="B95" s="63" t="str">
        <f>IF(D95&lt;2,CONCATENATE("[",SUM(D$87:D93),"]"),CONCATENATE("[",SUM(D$87:D93)+D95-1,":",SUM(D$87:D93),"]"))</f>
        <v>[17:15]</v>
      </c>
      <c r="C95" s="63" t="s">
        <v>195</v>
      </c>
      <c r="D95" s="51">
        <v>3</v>
      </c>
      <c r="E95" s="118" t="s">
        <v>183</v>
      </c>
      <c r="F95" s="80" t="s">
        <v>196</v>
      </c>
    </row>
    <row r="96" ht="28.5" customHeight="1" spans="1:6">
      <c r="B96" s="63" t="str">
        <f>IF(D96&lt;2,CONCATENATE("[",SUM(D$87:D94),"]"),CONCATENATE("[",SUM(D$87:D94)+D96-1,":",SUM(D$87:D94),"]"))</f>
        <v>[26:23]</v>
      </c>
      <c r="C96" s="68" t="s">
        <v>197</v>
      </c>
      <c r="D96" s="69">
        <v>4</v>
      </c>
      <c r="E96" s="117" t="s">
        <v>198</v>
      </c>
      <c r="F96" s="66" t="s">
        <v>71</v>
      </c>
    </row>
    <row r="97" customHeight="1" spans="1:6">
      <c r="B97" s="63"/>
      <c r="C97" s="74" t="s">
        <v>72</v>
      </c>
      <c r="D97" s="75">
        <f>SUM(D87:D96)</f>
        <v>30</v>
      </c>
      <c r="E97" s="64"/>
      <c r="F97" s="70"/>
    </row>
    <row r="98" customHeight="1" spans="1:6">
      <c r="A98" s="58"/>
      <c r="B98" s="59"/>
      <c r="C98" s="60" t="s">
        <v>199</v>
      </c>
      <c r="D98" s="61"/>
      <c r="E98" s="61"/>
      <c r="F98" s="62" t="s">
        <v>200</v>
      </c>
    </row>
    <row r="99" ht="28.8" spans="1:6">
      <c r="B99" s="63" t="str">
        <f>IF(D99&lt;2,CONCATENATE("[",0,"]"),CONCATENATE("[",D99-1,":",0,"]"))</f>
        <v>[0]</v>
      </c>
      <c r="C99" s="63" t="s">
        <v>201</v>
      </c>
      <c r="D99" s="64">
        <v>1</v>
      </c>
      <c r="E99" s="119" t="s">
        <v>9</v>
      </c>
      <c r="F99" s="80" t="s">
        <v>202</v>
      </c>
    </row>
    <row r="100" ht="124.8" spans="1:6">
      <c r="B100" s="63" t="str">
        <f>IF(D100&lt;2,CONCATENATE("[",SUM(D$99:D99),"]"),CONCATENATE("[",SUM(D$99:D99)+D100-1,":",SUM(D$99:D99),"]"))</f>
        <v>[3:1]</v>
      </c>
      <c r="C100" s="63" t="s">
        <v>203</v>
      </c>
      <c r="D100" s="64">
        <v>3</v>
      </c>
      <c r="E100" s="118" t="s">
        <v>183</v>
      </c>
      <c r="F100" s="80" t="s">
        <v>204</v>
      </c>
    </row>
    <row r="101" ht="129.6" spans="1:6">
      <c r="B101" s="63" t="str">
        <f>IF(D101&lt;2,CONCATENATE("[",SUM(D$99:D100),"]"),CONCATENATE("[",SUM(D$99:D100)+D101-1,":",SUM(D$99:D100),"]"))</f>
        <v>[6:4]</v>
      </c>
      <c r="C101" s="63" t="s">
        <v>205</v>
      </c>
      <c r="D101" s="64">
        <v>3</v>
      </c>
      <c r="E101" s="118" t="s">
        <v>183</v>
      </c>
      <c r="F101" s="83" t="s">
        <v>206</v>
      </c>
    </row>
    <row r="102" ht="28.8" spans="1:6">
      <c r="B102" s="63" t="str">
        <f>IF(D102&lt;2,CONCATENATE("[",SUM(D$99:D101),"]"),CONCATENATE("[",SUM(D$99:D101)+D102-1,":",SUM(D$99:D101),"]"))</f>
        <v>[7]</v>
      </c>
      <c r="C102" s="63" t="s">
        <v>207</v>
      </c>
      <c r="D102" s="64">
        <v>1</v>
      </c>
      <c r="E102" s="118" t="s">
        <v>12</v>
      </c>
      <c r="F102" s="84" t="s">
        <v>208</v>
      </c>
    </row>
    <row r="103" ht="69.6" spans="1:6">
      <c r="B103" s="63" t="str">
        <f>IF(D103&lt;2,CONCATENATE("[",SUM(D$99:D102),"]"),CONCATENATE("[",SUM(D$99:D102)+D103-1,":",SUM(D$99:D102),"]"))</f>
        <v>[9:8]</v>
      </c>
      <c r="C103" s="71" t="s">
        <v>209</v>
      </c>
      <c r="D103" s="64">
        <v>2</v>
      </c>
      <c r="E103" s="118" t="s">
        <v>81</v>
      </c>
      <c r="F103" s="83" t="s">
        <v>210</v>
      </c>
    </row>
    <row r="104" ht="28.8" spans="1:6">
      <c r="B104" s="63" t="str">
        <f>IF(D104&lt;2,CONCATENATE("[",SUM(D$99:D103),"]"),CONCATENATE("[",SUM(D$99:D103)+D104-1,":",SUM(D$99:D103),"]"))</f>
        <v>[10]</v>
      </c>
      <c r="C104" s="63" t="s">
        <v>211</v>
      </c>
      <c r="D104" s="51">
        <v>1</v>
      </c>
      <c r="E104" s="118" t="s">
        <v>12</v>
      </c>
      <c r="F104" s="80" t="s">
        <v>212</v>
      </c>
    </row>
    <row r="105" ht="28.8" spans="1:6">
      <c r="B105" s="63" t="str">
        <f>IF(D105&lt;2,CONCATENATE("[",SUM(D$99:D104),"]"),CONCATENATE("[",SUM(D$99:D104)+D105-1,":",SUM(D$99:D104),"]"))</f>
        <v>[11]</v>
      </c>
      <c r="C105" s="63" t="s">
        <v>213</v>
      </c>
      <c r="D105" s="64">
        <v>1</v>
      </c>
      <c r="E105" s="118" t="s">
        <v>12</v>
      </c>
      <c r="F105" s="80" t="s">
        <v>214</v>
      </c>
    </row>
    <row r="106" ht="28.8" spans="1:6">
      <c r="B106" s="63" t="str">
        <f>IF(D106&lt;2,CONCATENATE("[",SUM(D$99:D105),"]"),CONCATENATE("[",SUM(D$99:D105)+D106-1,":",SUM(D$99:D105),"]"))</f>
        <v>[12]</v>
      </c>
      <c r="C106" s="68" t="s">
        <v>215</v>
      </c>
      <c r="D106" s="69">
        <v>1</v>
      </c>
      <c r="E106" s="119" t="s">
        <v>12</v>
      </c>
      <c r="F106" s="93" t="s">
        <v>216</v>
      </c>
    </row>
    <row r="107" ht="28.8" spans="1:6">
      <c r="B107" s="63" t="str">
        <f>IF(D107&lt;2,CONCATENATE("[",SUM(D$99:D106),"]"),CONCATENATE("[",SUM(D$99:D106)+D107-1,":",SUM(D$99:D106),"]"))</f>
        <v>[13]</v>
      </c>
      <c r="C107" s="68" t="s">
        <v>217</v>
      </c>
      <c r="D107" s="69">
        <v>1</v>
      </c>
      <c r="E107" s="119" t="s">
        <v>12</v>
      </c>
      <c r="F107" s="93" t="s">
        <v>218</v>
      </c>
    </row>
    <row r="108" ht="84" spans="1:6">
      <c r="B108" s="63" t="str">
        <f>IF(D108&lt;2,CONCATENATE("[",SUM(D$99:D107),"]"),CONCATENATE("[",SUM(D$99:D107)+D108-1,":",SUM(D$99:D107),"]"))</f>
        <v>[15:14]</v>
      </c>
      <c r="C108" s="68" t="s">
        <v>219</v>
      </c>
      <c r="D108" s="69">
        <v>2</v>
      </c>
      <c r="E108" s="119" t="s">
        <v>106</v>
      </c>
      <c r="F108" s="93" t="s">
        <v>220</v>
      </c>
    </row>
    <row r="109" ht="72" spans="1:6">
      <c r="B109" s="63" t="str">
        <f>IF(D109&lt;2,CONCATENATE("[",SUM(D$99:D107),"]"),CONCATENATE("[",SUM(D$99:D107)+D109-1,":",SUM(D$99:D107),"]"))</f>
        <v>[15:14]</v>
      </c>
      <c r="C109" s="68" t="s">
        <v>221</v>
      </c>
      <c r="D109" s="69">
        <v>2</v>
      </c>
      <c r="E109" s="119" t="s">
        <v>106</v>
      </c>
      <c r="F109" s="93" t="s">
        <v>222</v>
      </c>
    </row>
    <row r="110" ht="28.5" customHeight="1" spans="1:6">
      <c r="B110" s="63" t="str">
        <f>IF(D110&lt;2,CONCATENATE("[",SUM(D$99:D108),"]"),CONCATENATE("[",SUM(D$99:D108)+D110-1,":",SUM(D$99:D108),"]"))</f>
        <v>[19:16]</v>
      </c>
      <c r="C110" s="68" t="s">
        <v>223</v>
      </c>
      <c r="D110" s="69">
        <v>4</v>
      </c>
      <c r="E110" s="117" t="s">
        <v>198</v>
      </c>
      <c r="F110" s="66" t="s">
        <v>71</v>
      </c>
    </row>
    <row r="111" customHeight="1" spans="1:6">
      <c r="B111" s="63"/>
      <c r="C111" s="74" t="s">
        <v>72</v>
      </c>
      <c r="D111" s="75">
        <f>SUM(D99:D110)</f>
        <v>22</v>
      </c>
      <c r="E111" s="64"/>
      <c r="F111" s="70"/>
    </row>
    <row r="112" ht="28.5" customHeight="1" spans="1:6">
      <c r="A112" s="58"/>
      <c r="B112" s="94"/>
      <c r="C112" s="94" t="s">
        <v>224</v>
      </c>
      <c r="D112" s="95"/>
      <c r="E112" s="95"/>
      <c r="F112" s="62" t="s">
        <v>225</v>
      </c>
    </row>
    <row r="113" ht="39.6" spans="1:7">
      <c r="B113" s="63" t="str">
        <f>IF(D113&lt;2,CONCATENATE("[",0,"]"),CONCATENATE("[",D113-1,":",0,"]"))</f>
        <v>[0]</v>
      </c>
      <c r="C113" s="63" t="s">
        <v>226</v>
      </c>
      <c r="D113" s="64">
        <v>1</v>
      </c>
      <c r="E113" s="118" t="s">
        <v>12</v>
      </c>
      <c r="F113" s="96" t="s">
        <v>227</v>
      </c>
      <c r="G113" s="97" t="s">
        <v>228</v>
      </c>
    </row>
    <row r="114" ht="39.6" spans="1:7">
      <c r="B114" s="63" t="str">
        <f>IF(D114&lt;2,CONCATENATE("[",SUM(D$113:D113),"]"),CONCATENATE("[",SUM(D$113:D113)+D114-1,":",SUM(D$113:D113),"]"))</f>
        <v>[1]</v>
      </c>
      <c r="C114" s="63" t="s">
        <v>229</v>
      </c>
      <c r="D114" s="64">
        <v>1</v>
      </c>
      <c r="E114" s="118" t="s">
        <v>12</v>
      </c>
      <c r="F114" s="98" t="s">
        <v>230</v>
      </c>
      <c r="G114" s="99" t="s">
        <v>231</v>
      </c>
    </row>
    <row r="115" ht="26.4" spans="1:7">
      <c r="B115" s="63" t="str">
        <f>IF(D115&lt;2,CONCATENATE("[",SUM(D$113:D114),"]"),CONCATENATE("[",SUM(D$113:D114)+D115-1,":",SUM(D$113:D114),"]"))</f>
        <v>[2]</v>
      </c>
      <c r="C115" s="63" t="s">
        <v>232</v>
      </c>
      <c r="D115" s="64">
        <v>1</v>
      </c>
      <c r="E115" s="118" t="s">
        <v>12</v>
      </c>
      <c r="F115" s="98" t="s">
        <v>233</v>
      </c>
      <c r="G115" s="97" t="s">
        <v>228</v>
      </c>
    </row>
    <row r="116" ht="409.5" spans="1:7">
      <c r="B116" s="63" t="str">
        <f>IF(D116&lt;2,CONCATENATE("[",SUM(D$113:D115),"]"),CONCATENATE("[",SUM(D$113:D115)+D116-1,":",SUM(D$113:D115),"]"))</f>
        <v>[7:3]</v>
      </c>
      <c r="C116" s="63" t="s">
        <v>234</v>
      </c>
      <c r="D116" s="64">
        <v>5</v>
      </c>
      <c r="E116" s="118" t="s">
        <v>235</v>
      </c>
      <c r="F116" s="98" t="s">
        <v>236</v>
      </c>
      <c r="G116" s="99" t="s">
        <v>231</v>
      </c>
    </row>
    <row r="117" ht="79.2" spans="1:7">
      <c r="B117" s="100" t="str">
        <f>IF(D117&lt;2,CONCATENATE("[",SUM(D$113:D116),"]"),CONCATENATE("[",SUM(D$113:D116)+D117-1,":",SUM(D$113:D116),"]"))</f>
        <v>[9:8]</v>
      </c>
      <c r="C117" s="100" t="s">
        <v>237</v>
      </c>
      <c r="D117" s="87">
        <v>2</v>
      </c>
      <c r="E117" s="120" t="s">
        <v>150</v>
      </c>
      <c r="F117" s="98" t="s">
        <v>238</v>
      </c>
      <c r="G117" s="97"/>
    </row>
    <row r="118" ht="43.2" spans="1:7">
      <c r="B118" s="63" t="str">
        <f>IF(D118&lt;2,CONCATENATE("[",SUM(D$113:D117),"]"),CONCATENATE("[",SUM(D$113:D117)+D118-1,":",SUM(D$113:D117),"]"))</f>
        <v>[10]</v>
      </c>
      <c r="C118" s="63" t="s">
        <v>239</v>
      </c>
      <c r="D118" s="64">
        <v>1</v>
      </c>
      <c r="E118" s="118" t="s">
        <v>9</v>
      </c>
      <c r="F118" s="12" t="s">
        <v>240</v>
      </c>
      <c r="G118" s="99"/>
    </row>
    <row r="119" ht="28.8" spans="1:7">
      <c r="B119" s="63" t="str">
        <f>IF(D119&lt;2,CONCATENATE("[",SUM(D$113:D118),"]"),CONCATENATE("[",SUM(D$113:D118)+D119-1,":",SUM(D$113:D118),"]"))</f>
        <v>[11]</v>
      </c>
      <c r="C119" s="63" t="s">
        <v>241</v>
      </c>
      <c r="D119" s="64">
        <v>1</v>
      </c>
      <c r="E119" s="64">
        <v>0</v>
      </c>
      <c r="F119" s="12" t="s">
        <v>242</v>
      </c>
    </row>
    <row r="120" ht="28.8" spans="1:7">
      <c r="B120" s="63" t="str">
        <f>IF(D120&lt;2,CONCATENATE("[",SUM(D$113:D119),"]"),CONCATENATE("[",SUM(D$113:D119)+D120-1,":",SUM(D$113:D119),"]"))</f>
        <v>[12]</v>
      </c>
      <c r="C120" s="63" t="s">
        <v>243</v>
      </c>
      <c r="D120" s="64">
        <v>1</v>
      </c>
      <c r="E120" s="118" t="s">
        <v>12</v>
      </c>
      <c r="F120" s="70" t="s">
        <v>244</v>
      </c>
    </row>
    <row r="121" ht="70.8" spans="1:7">
      <c r="B121" s="63" t="str">
        <f>IF(D121&lt;2,CONCATENATE("[",SUM(D$113:D120),"]"),CONCATENATE("[",SUM(D$113:D120)+D121-1,":",SUM(D$113:D120),"]"))</f>
        <v>[14:13]</v>
      </c>
      <c r="C121" s="63" t="s">
        <v>245</v>
      </c>
      <c r="D121" s="64">
        <v>2</v>
      </c>
      <c r="E121" s="118" t="s">
        <v>150</v>
      </c>
      <c r="F121" s="70" t="s">
        <v>246</v>
      </c>
    </row>
    <row r="122" ht="57.6" spans="1:7">
      <c r="B122" s="63" t="str">
        <f>IF(D122&lt;2,CONCATENATE("[",SUM(D$113:D121),"]"),CONCATENATE("[",SUM(D$113:D121)+D122-1,":",SUM(D$113:D121),"]"))</f>
        <v>[15]</v>
      </c>
      <c r="C122" s="63" t="s">
        <v>247</v>
      </c>
      <c r="D122" s="64">
        <v>1</v>
      </c>
      <c r="E122" s="118" t="s">
        <v>12</v>
      </c>
      <c r="F122" s="70" t="s">
        <v>248</v>
      </c>
    </row>
    <row r="123" ht="28.8" spans="1:7">
      <c r="B123" s="88" t="str">
        <f>IF(D123&lt;2,CONCATENATE("[",SUM(D$113:D122),"]"),CONCATENATE("[",SUM(D$113:D122)+D123-1,":",SUM(D$113:D122),"]"))</f>
        <v>[17:16]</v>
      </c>
      <c r="C123" s="88" t="s">
        <v>249</v>
      </c>
      <c r="D123" s="101">
        <v>2</v>
      </c>
      <c r="E123" s="123" t="s">
        <v>76</v>
      </c>
      <c r="F123" s="12" t="s">
        <v>250</v>
      </c>
    </row>
    <row r="124" ht="28.8" spans="1:7">
      <c r="B124" s="63" t="str">
        <f>IF(D124&lt;2,CONCATENATE("[",SUM(D$113:D123),"]"),CONCATENATE("[",SUM(D$113:D123)+D124-1,":",SUM(D$113:D123),"]"))</f>
        <v>[18]</v>
      </c>
      <c r="C124" s="68" t="s">
        <v>251</v>
      </c>
      <c r="D124" s="69">
        <v>1</v>
      </c>
      <c r="E124" s="119" t="s">
        <v>12</v>
      </c>
      <c r="F124" s="66" t="s">
        <v>252</v>
      </c>
    </row>
    <row r="125" ht="28.8" spans="1:7">
      <c r="B125" s="63" t="str">
        <f>IF(D125&lt;2,CONCATENATE("[",SUM(D$113:D124),"]"),CONCATENATE("[",SUM(D$113:D124)+D125-1,":",SUM(D$113:D124),"]"))</f>
        <v>[20:19]</v>
      </c>
      <c r="C125" s="68" t="s">
        <v>253</v>
      </c>
      <c r="D125" s="69">
        <v>2</v>
      </c>
      <c r="E125" s="119" t="s">
        <v>106</v>
      </c>
      <c r="F125" s="31" t="s">
        <v>71</v>
      </c>
    </row>
    <row r="126" customHeight="1" spans="1:7">
      <c r="B126" s="63"/>
      <c r="C126" s="74" t="s">
        <v>72</v>
      </c>
      <c r="D126" s="75">
        <f>SUM(D113:D125)</f>
        <v>21</v>
      </c>
      <c r="E126" s="64"/>
      <c r="F126" s="10"/>
    </row>
    <row r="127" customHeight="1" spans="1:7">
      <c r="A127" s="58"/>
      <c r="B127" s="60"/>
      <c r="C127" s="60" t="s">
        <v>254</v>
      </c>
      <c r="D127" s="61"/>
      <c r="E127" s="61"/>
      <c r="F127" s="102" t="s">
        <v>255</v>
      </c>
    </row>
    <row r="128" ht="409.5" spans="1:7">
      <c r="B128" s="63" t="str">
        <f>IF(D128&lt;2,CONCATENATE("[",0,"]"),CONCATENATE("[",D128-1,":",0,"]"))</f>
        <v>[4:0]</v>
      </c>
      <c r="C128" s="63" t="s">
        <v>256</v>
      </c>
      <c r="D128" s="64">
        <v>5</v>
      </c>
      <c r="E128" s="118" t="s">
        <v>235</v>
      </c>
      <c r="F128" s="10" t="s">
        <v>257</v>
      </c>
    </row>
    <row r="129" ht="28.8" spans="1:6">
      <c r="B129" s="63" t="str">
        <f>IF(D129&lt;2,CONCATENATE("[",SUM(D$128:D128),"]"),CONCATENATE("[",SUM(D$128:D128)+D129-1,":",SUM(D$128:D128),"]"))</f>
        <v>[5]</v>
      </c>
      <c r="C129" s="63" t="s">
        <v>258</v>
      </c>
      <c r="D129" s="64">
        <v>1</v>
      </c>
      <c r="E129" s="118" t="s">
        <v>12</v>
      </c>
      <c r="F129" s="10" t="s">
        <v>259</v>
      </c>
    </row>
    <row r="130" ht="28.8" spans="1:6">
      <c r="B130" s="63" t="str">
        <f>IF(D130&lt;2,CONCATENATE("[",SUM(D$128:D129),"]"),CONCATENATE("[",SUM(D$128:D129)+D130-1,":",SUM(D$128:D129),"]"))</f>
        <v>[6]</v>
      </c>
      <c r="C130" s="63" t="s">
        <v>260</v>
      </c>
      <c r="D130" s="64">
        <v>1</v>
      </c>
      <c r="E130" s="118" t="s">
        <v>12</v>
      </c>
      <c r="F130" s="10" t="s">
        <v>261</v>
      </c>
    </row>
    <row r="131" ht="28.8" spans="1:6">
      <c r="B131" s="63" t="str">
        <f>IF(D131&lt;2,CONCATENATE("[",SUM(D$128:D130),"]"),CONCATENATE("[",SUM(D$128:D130)+D131-1,":",SUM(D$128:D130),"]"))</f>
        <v>[7]</v>
      </c>
      <c r="C131" s="63" t="s">
        <v>262</v>
      </c>
      <c r="D131" s="64">
        <v>1</v>
      </c>
      <c r="E131" s="118" t="s">
        <v>12</v>
      </c>
      <c r="F131" s="10" t="s">
        <v>263</v>
      </c>
    </row>
    <row r="132" ht="409.5" spans="1:6">
      <c r="B132" s="63" t="str">
        <f>IF(D132&lt;2,CONCATENATE("[",SUM(D$128:D131),"]"),CONCATENATE("[",SUM(D$128:D131)+D132-1,":",SUM(D$128:D131),"]"))</f>
        <v>[12:8]</v>
      </c>
      <c r="C132" s="63" t="s">
        <v>264</v>
      </c>
      <c r="D132" s="64">
        <v>5</v>
      </c>
      <c r="E132" s="118" t="s">
        <v>235</v>
      </c>
      <c r="F132" s="10" t="s">
        <v>265</v>
      </c>
    </row>
    <row r="133" ht="28.8" spans="1:6">
      <c r="B133" s="63" t="str">
        <f>IF(D133&lt;2,CONCATENATE("[",SUM(D$128:D131),"]"),CONCATENATE("[",SUM(D$128:D131)+D133-1,":",SUM(D$128:D131),"]"))</f>
        <v>[8]</v>
      </c>
      <c r="C133" s="63" t="s">
        <v>266</v>
      </c>
      <c r="D133" s="64">
        <v>1</v>
      </c>
      <c r="E133" s="118" t="s">
        <v>12</v>
      </c>
      <c r="F133" s="10" t="s">
        <v>267</v>
      </c>
    </row>
    <row r="134" ht="28.5" customHeight="1" spans="1:6">
      <c r="B134" s="63" t="str">
        <f>IF(D134&lt;2,CONCATENATE("[",SUM(D$128:D132),"]"),CONCATENATE("[",SUM(D$128:D132)+D134-1,":",SUM(D$128:D132),"]"))</f>
        <v>[14:13]</v>
      </c>
      <c r="C134" s="68" t="s">
        <v>268</v>
      </c>
      <c r="D134" s="69">
        <v>2</v>
      </c>
      <c r="E134" s="117" t="s">
        <v>106</v>
      </c>
      <c r="F134" s="66" t="s">
        <v>71</v>
      </c>
    </row>
    <row r="135" customHeight="1" spans="1:6">
      <c r="B135" s="63"/>
      <c r="C135" s="74" t="s">
        <v>72</v>
      </c>
      <c r="D135" s="75">
        <f>SUM(D128:D134)</f>
        <v>16</v>
      </c>
      <c r="E135" s="64"/>
      <c r="F135" s="10"/>
    </row>
    <row r="136" customHeight="1" spans="1:6">
      <c r="A136" s="58"/>
      <c r="B136" s="59"/>
      <c r="C136" s="60" t="s">
        <v>269</v>
      </c>
      <c r="D136" s="61"/>
      <c r="E136" s="61"/>
      <c r="F136" s="62" t="s">
        <v>270</v>
      </c>
    </row>
    <row r="137" customHeight="1" spans="1:6">
      <c r="B137" s="63" t="str">
        <f>IF(D137&lt;2,CONCATENATE("[",0,"]"),CONCATENATE("[",D137-1,":",0,"]"))</f>
        <v>[4:0]</v>
      </c>
      <c r="C137" s="63" t="s">
        <v>271</v>
      </c>
      <c r="D137" s="64">
        <v>5</v>
      </c>
      <c r="E137" s="118" t="s">
        <v>272</v>
      </c>
      <c r="F137" s="70" t="s">
        <v>273</v>
      </c>
    </row>
    <row r="138" customHeight="1" spans="1:6">
      <c r="B138" s="63" t="str">
        <f>IF(D138&lt;2,CONCATENATE("[",SUM(D$137:D137),"]"),CONCATENATE("[",SUM(D$137:D137)+D138-1,":",SUM(D$137:D137),"]"))</f>
        <v>[8:5]</v>
      </c>
      <c r="C138" s="63" t="s">
        <v>274</v>
      </c>
      <c r="D138" s="64">
        <v>4</v>
      </c>
      <c r="E138" s="118" t="s">
        <v>275</v>
      </c>
      <c r="F138" s="70" t="s">
        <v>276</v>
      </c>
    </row>
    <row r="139" customHeight="1" spans="1:6">
      <c r="B139" s="63" t="str">
        <f>IF(D139&lt;2,CONCATENATE("[",SUM(D$137:D138),"]"),CONCATENATE("[",SUM(D$137:D138)+D139-1,":",SUM(D$137:D138),"]"))</f>
        <v>[11:9]</v>
      </c>
      <c r="C139" s="63" t="s">
        <v>277</v>
      </c>
      <c r="D139" s="64">
        <v>3</v>
      </c>
      <c r="E139" s="118" t="s">
        <v>110</v>
      </c>
      <c r="F139" s="70" t="s">
        <v>278</v>
      </c>
    </row>
    <row r="140" customHeight="1" spans="1:6">
      <c r="B140" s="63" t="str">
        <f>IF(D140&lt;2,CONCATENATE("[",SUM(D$137:D139),"]"),CONCATENATE("[",SUM(D$137:D139)+D140-1,":",SUM(D$137:D139),"]"))</f>
        <v>[13:12]</v>
      </c>
      <c r="C140" s="63" t="s">
        <v>279</v>
      </c>
      <c r="D140" s="64">
        <v>2</v>
      </c>
      <c r="E140" s="118" t="s">
        <v>76</v>
      </c>
      <c r="F140" s="70" t="s">
        <v>280</v>
      </c>
    </row>
    <row r="141" customHeight="1" spans="1:6">
      <c r="B141" s="63" t="str">
        <f>IF(D141&lt;2,CONCATENATE("[",SUM(D$137:D140),"]"),CONCATENATE("[",SUM(D$137:D140)+D141-1,":",SUM(D$137:D140),"]"))</f>
        <v>[17:14]</v>
      </c>
      <c r="C141" s="71" t="s">
        <v>281</v>
      </c>
      <c r="D141" s="64">
        <v>4</v>
      </c>
      <c r="E141" s="118" t="s">
        <v>282</v>
      </c>
      <c r="F141" s="70" t="s">
        <v>283</v>
      </c>
    </row>
    <row r="142" customHeight="1" spans="1:6">
      <c r="B142" s="68" t="str">
        <f>IF(D142&lt;2,CONCATENATE("[",SUM(D$137:D141),"]"),CONCATENATE("[",SUM(D$137:D141)+D142-1,":",SUM(D$137:D141),"]"))</f>
        <v>[20:18]</v>
      </c>
      <c r="C142" s="68" t="s">
        <v>284</v>
      </c>
      <c r="D142" s="69">
        <v>3</v>
      </c>
      <c r="E142" s="119" t="s">
        <v>285</v>
      </c>
      <c r="F142" s="66" t="s">
        <v>286</v>
      </c>
    </row>
    <row r="143" customHeight="1" spans="1:6">
      <c r="B143" s="63" t="str">
        <f>IF(D143&lt;2,CONCATENATE("[",SUM(D$137:D142),"]"),CONCATENATE("[",SUM(D$137:D142)+D143-1,":",SUM(D$137:D142),"]"))</f>
        <v>[25:21]</v>
      </c>
      <c r="C143" s="63" t="s">
        <v>287</v>
      </c>
      <c r="D143" s="64">
        <v>5</v>
      </c>
      <c r="E143" s="118" t="s">
        <v>288</v>
      </c>
      <c r="F143" s="70" t="s">
        <v>289</v>
      </c>
    </row>
    <row r="144" customHeight="1" spans="1:6">
      <c r="B144" s="63"/>
      <c r="C144" s="74" t="s">
        <v>72</v>
      </c>
      <c r="D144" s="75">
        <f>SUM(D137:D143)</f>
        <v>26</v>
      </c>
      <c r="E144" s="64"/>
      <c r="F144" s="70"/>
    </row>
    <row r="145" customHeight="1" spans="1:6">
      <c r="A145" s="58"/>
      <c r="B145" s="59"/>
      <c r="C145" s="60" t="s">
        <v>290</v>
      </c>
      <c r="D145" s="61"/>
      <c r="E145" s="61"/>
      <c r="F145" s="62" t="s">
        <v>291</v>
      </c>
    </row>
    <row r="146" ht="105" customHeight="1" spans="1:6">
      <c r="B146" s="63" t="str">
        <f>IF(D146&lt;2,CONCATENATE("[",0,"]"),CONCATENATE("[",D146-1,":",0,"]"))</f>
        <v>[6:0]</v>
      </c>
      <c r="C146" s="68" t="s">
        <v>292</v>
      </c>
      <c r="D146" s="69">
        <v>7</v>
      </c>
      <c r="E146" s="119" t="s">
        <v>293</v>
      </c>
      <c r="F146" s="66" t="s">
        <v>294</v>
      </c>
    </row>
    <row r="147" ht="105" customHeight="1" spans="1:6">
      <c r="B147" s="63" t="str">
        <f>IF(D147&lt;2,CONCATENATE("[",SUM(D$146:D146),"]"),CONCATENATE("[",SUM(D$146:D146)+D147-1,":",SUM(D$146:D146),"]"))</f>
        <v>[13:7]</v>
      </c>
      <c r="C147" s="68" t="s">
        <v>295</v>
      </c>
      <c r="D147" s="69">
        <v>7</v>
      </c>
      <c r="E147" s="119" t="s">
        <v>296</v>
      </c>
      <c r="F147" s="66" t="s">
        <v>297</v>
      </c>
    </row>
    <row r="148" customHeight="1" spans="1:6">
      <c r="B148" s="63" t="str">
        <f>IF(D148&lt;2,CONCATENATE("[",SUM(D$146:D147),"]"),CONCATENATE("[",SUM(D$146:D147)+D148-1,":",SUM(D$146:D147),"]"))</f>
        <v>[18:14]</v>
      </c>
      <c r="C148" s="63" t="s">
        <v>298</v>
      </c>
      <c r="D148" s="64">
        <v>5</v>
      </c>
      <c r="E148" s="119" t="s">
        <v>288</v>
      </c>
      <c r="F148" s="70" t="s">
        <v>299</v>
      </c>
    </row>
    <row r="149" ht="30" customHeight="1" spans="1:6">
      <c r="B149" s="63" t="str">
        <f>IF(D149&lt;2,CONCATENATE("[",SUM(D$146:D148),"]"),CONCATENATE("[",SUM(D$146:D148)+D149-1,":",SUM(D$146:D148),"]"))</f>
        <v>[24:19]</v>
      </c>
      <c r="C149" s="63" t="s">
        <v>300</v>
      </c>
      <c r="D149" s="64">
        <v>6</v>
      </c>
      <c r="E149" s="119" t="s">
        <v>301</v>
      </c>
      <c r="F149" s="70" t="s">
        <v>302</v>
      </c>
    </row>
    <row r="150" customHeight="1" spans="1:6">
      <c r="B150" s="63" t="str">
        <f>IF(D150&lt;2,CONCATENATE("[",SUM(D$146:D149),"]"),CONCATENATE("[",SUM(D$146:D149)+D150-1,":",SUM(D$146:D149),"]"))</f>
        <v>[30:25]</v>
      </c>
      <c r="C150" s="63" t="s">
        <v>303</v>
      </c>
      <c r="D150" s="64">
        <v>6</v>
      </c>
      <c r="E150" s="118" t="s">
        <v>304</v>
      </c>
      <c r="F150" s="70" t="s">
        <v>305</v>
      </c>
    </row>
    <row r="151" customHeight="1" spans="1:6">
      <c r="B151" s="63"/>
      <c r="C151" s="74" t="s">
        <v>72</v>
      </c>
      <c r="D151" s="75">
        <f>SUM(D146:D150)</f>
        <v>31</v>
      </c>
      <c r="E151" s="64"/>
      <c r="F151" s="70"/>
    </row>
    <row r="152" ht="15.75" customHeight="1" spans="1:6">
      <c r="B152" s="103"/>
      <c r="C152" s="103"/>
      <c r="D152" s="104"/>
      <c r="E152" s="104"/>
      <c r="F152" s="105"/>
    </row>
    <row r="153" customHeight="1" spans="1:6">
      <c r="B153" s="106"/>
      <c r="C153" s="107" t="s">
        <v>306</v>
      </c>
      <c r="D153" s="108">
        <f>SUM(D3:D151)/2-D154</f>
        <v>245</v>
      </c>
      <c r="E153" s="65" t="s">
        <v>307</v>
      </c>
      <c r="F153" s="109"/>
    </row>
    <row r="154" customHeight="1" spans="1:6">
      <c r="B154" s="100"/>
      <c r="C154" s="110" t="s">
        <v>308</v>
      </c>
      <c r="D154" s="111">
        <f>COUNTIF(C1:C152,"NC")</f>
        <v>2</v>
      </c>
      <c r="E154" s="112"/>
      <c r="F154" s="113"/>
    </row>
    <row r="155" ht="15.75" customHeight="1" spans="1:6">
      <c r="B155" s="103"/>
      <c r="C155" s="103"/>
      <c r="D155" s="104"/>
      <c r="E155" s="104"/>
      <c r="F155" s="105"/>
    </row>
    <row r="156" customHeight="1" spans="1:6">
      <c r="D156" s="49"/>
      <c r="E156" s="114"/>
    </row>
    <row r="157" customHeight="1" spans="1:6">
      <c r="B157" s="49"/>
      <c r="D157" s="49"/>
    </row>
    <row r="158" customHeight="1" spans="1:6">
      <c r="B158" s="23" t="s">
        <v>309</v>
      </c>
      <c r="D158" s="26"/>
      <c r="E158" s="111"/>
    </row>
    <row r="159" customHeight="1" spans="1:6">
      <c r="C159" s="25" t="s">
        <v>310</v>
      </c>
      <c r="D159" s="26"/>
    </row>
    <row r="160" customHeight="1" spans="1:6">
      <c r="B160" s="51"/>
      <c r="C160" s="51"/>
      <c r="D160" s="26"/>
    </row>
    <row r="161" customHeight="1" spans="2:4">
      <c r="B161" s="23" t="s">
        <v>311</v>
      </c>
      <c r="D161" s="26"/>
    </row>
    <row r="162" customHeight="1" spans="2:4">
      <c r="C162" s="25" t="s">
        <v>312</v>
      </c>
    </row>
    <row r="164" customHeight="1" spans="2:4">
      <c r="B164" s="23" t="s">
        <v>313</v>
      </c>
    </row>
    <row r="165" customHeight="1" spans="2:4">
      <c r="C165" s="25" t="s">
        <v>312</v>
      </c>
    </row>
    <row r="166" customHeight="1" spans="2:4">
      <c r="C166" s="115"/>
    </row>
    <row r="167" customHeight="1" spans="2:4">
      <c r="B167" s="23" t="s">
        <v>314</v>
      </c>
    </row>
    <row r="168" customHeight="1" spans="2:4">
      <c r="C168" s="25" t="s">
        <v>315</v>
      </c>
      <c r="D168" s="26"/>
    </row>
    <row r="169" customHeight="1" spans="2:4">
      <c r="C169" s="115"/>
      <c r="D169" s="26"/>
    </row>
    <row r="170" customHeight="1" spans="2:4">
      <c r="B170" s="23" t="s">
        <v>316</v>
      </c>
      <c r="D170" s="26"/>
    </row>
    <row r="171" customHeight="1" spans="2:4">
      <c r="C171" s="25" t="s">
        <v>317</v>
      </c>
    </row>
    <row r="172" customHeight="1" spans="2:4">
      <c r="C172" s="25" t="s">
        <v>318</v>
      </c>
    </row>
    <row r="173" customHeight="1" spans="2:4">
      <c r="C173" s="115"/>
    </row>
    <row r="174" customHeight="1" spans="2:4">
      <c r="B174" s="23" t="s">
        <v>319</v>
      </c>
    </row>
    <row r="175" customHeight="1" spans="2:4">
      <c r="C175" s="25" t="s">
        <v>320</v>
      </c>
    </row>
    <row r="176" customHeight="1" spans="2:4">
      <c r="C176" s="115"/>
    </row>
    <row r="177" customHeight="1" spans="2:4">
      <c r="B177" s="23" t="s">
        <v>321</v>
      </c>
      <c r="D177" s="26"/>
    </row>
    <row r="178" customHeight="1" spans="2:4">
      <c r="C178" s="25" t="s">
        <v>322</v>
      </c>
    </row>
    <row r="179" customHeight="1" spans="2:4">
      <c r="B179" s="23"/>
      <c r="C179" s="25"/>
      <c r="D179" s="26"/>
    </row>
    <row r="180" customHeight="1" spans="2:4">
      <c r="C180" s="115"/>
      <c r="D180" s="26"/>
    </row>
    <row r="181" customHeight="1" spans="2:4">
      <c r="B181" s="23"/>
    </row>
    <row r="182" customHeight="1" spans="2:4">
      <c r="C182" s="25"/>
    </row>
    <row r="183" customHeight="1" spans="2:4">
      <c r="B183" s="23"/>
      <c r="C183" s="25"/>
    </row>
    <row r="184" customHeight="1" spans="2:4">
      <c r="B184" s="23"/>
    </row>
    <row r="185" customHeight="1" spans="2:4">
      <c r="C185" s="25"/>
    </row>
    <row r="187" customHeight="1" spans="2:4">
      <c r="B187" s="23"/>
      <c r="D187" s="26"/>
    </row>
    <row r="188" customHeight="1" spans="2:4">
      <c r="B188" s="116"/>
    </row>
    <row r="193" customHeight="1" spans="2:6">
      <c r="B193" s="23"/>
      <c r="C193" s="23"/>
    </row>
    <row r="197" customHeight="1" spans="2:6">
      <c r="F197" s="51"/>
    </row>
    <row r="200" customHeight="1" spans="2:6">
      <c r="B200" s="23"/>
    </row>
    <row r="201" customHeight="1" spans="2:6">
      <c r="C201" s="25"/>
    </row>
    <row r="203" customHeight="1" spans="2:6">
      <c r="B203" s="116"/>
      <c r="C203" s="25"/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H30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875" defaultRowHeight="15" customHeight="1" outlineLevelCol="7"/>
  <cols>
    <col min="1" max="1" width="3.625" style="1" customWidth="1"/>
    <col min="2" max="2" width="12.625" style="1" customWidth="1"/>
    <col min="3" max="3" width="24.625" style="1" customWidth="1"/>
    <col min="4" max="4" width="12.625" style="2" customWidth="1"/>
    <col min="5" max="5" width="12.625" style="1" customWidth="1"/>
    <col min="6" max="6" width="48.625" style="3" customWidth="1"/>
    <col min="7" max="7" width="31.125" style="26" customWidth="1"/>
    <col min="8" max="8" width="12.625" style="26" customWidth="1"/>
    <col min="9" max="40" width="8.875" style="1"/>
  </cols>
  <sheetData>
    <row r="1" ht="28.5" customHeight="1" spans="2:8">
      <c r="B1" s="4" t="s">
        <v>323</v>
      </c>
      <c r="C1" s="5" t="s">
        <v>324</v>
      </c>
      <c r="D1" s="4" t="s">
        <v>325</v>
      </c>
      <c r="E1" s="27" t="s">
        <v>326</v>
      </c>
      <c r="F1" s="7" t="s">
        <v>4</v>
      </c>
      <c r="G1" s="28" t="s">
        <v>327</v>
      </c>
      <c r="H1" s="28" t="s">
        <v>328</v>
      </c>
    </row>
    <row r="2" customHeight="1" spans="2:8">
      <c r="B2" s="15" t="s">
        <v>329</v>
      </c>
      <c r="C2" s="15"/>
      <c r="D2" s="15"/>
      <c r="E2" s="15"/>
      <c r="F2" s="15"/>
      <c r="G2" s="15"/>
      <c r="H2" s="1"/>
    </row>
    <row r="3" ht="28.5" customHeight="1" spans="2:8">
      <c r="B3" s="29" t="s">
        <v>330</v>
      </c>
      <c r="C3" s="10" t="s">
        <v>331</v>
      </c>
      <c r="D3" s="9">
        <v>1</v>
      </c>
      <c r="E3" s="9" t="s">
        <v>332</v>
      </c>
      <c r="F3" s="12" t="s">
        <v>333</v>
      </c>
      <c r="G3" s="11" t="s">
        <v>334</v>
      </c>
      <c r="H3" s="11"/>
    </row>
    <row r="4" ht="43.5" customHeight="1" spans="2:8">
      <c r="B4" s="30" t="s">
        <v>335</v>
      </c>
      <c r="C4" s="31" t="s">
        <v>336</v>
      </c>
      <c r="D4" s="9">
        <v>1</v>
      </c>
      <c r="E4" s="9" t="s">
        <v>332</v>
      </c>
      <c r="F4" s="12" t="s">
        <v>337</v>
      </c>
      <c r="G4" s="11"/>
      <c r="H4" s="11"/>
    </row>
    <row r="5" ht="43.5" customHeight="1" spans="2:8">
      <c r="B5" s="32"/>
      <c r="C5" s="31" t="s">
        <v>338</v>
      </c>
      <c r="D5" s="9">
        <v>1</v>
      </c>
      <c r="E5" s="9" t="s">
        <v>332</v>
      </c>
      <c r="F5" s="12" t="s">
        <v>339</v>
      </c>
      <c r="G5" s="18" t="s">
        <v>340</v>
      </c>
      <c r="H5" s="11"/>
    </row>
    <row r="6" ht="45" customHeight="1" spans="2:8">
      <c r="B6" s="32"/>
      <c r="C6" s="31" t="s">
        <v>341</v>
      </c>
      <c r="D6" s="9">
        <v>1</v>
      </c>
      <c r="E6" s="9" t="s">
        <v>332</v>
      </c>
      <c r="F6" s="12" t="s">
        <v>342</v>
      </c>
      <c r="G6" s="11" t="s">
        <v>343</v>
      </c>
      <c r="H6" s="11"/>
    </row>
    <row r="7" ht="73.5" customHeight="1" spans="2:8">
      <c r="B7" s="29"/>
      <c r="C7" s="31" t="s">
        <v>344</v>
      </c>
      <c r="D7" s="9">
        <v>1</v>
      </c>
      <c r="E7" s="9" t="s">
        <v>332</v>
      </c>
      <c r="F7" s="12" t="s">
        <v>345</v>
      </c>
      <c r="G7" s="11" t="s">
        <v>346</v>
      </c>
      <c r="H7" s="11"/>
    </row>
    <row r="8" ht="30" customHeight="1" spans="2:8">
      <c r="B8" s="30" t="s">
        <v>347</v>
      </c>
      <c r="C8" s="31" t="s">
        <v>348</v>
      </c>
      <c r="D8" s="9">
        <v>12</v>
      </c>
      <c r="E8" s="9" t="s">
        <v>332</v>
      </c>
      <c r="F8" s="12" t="s">
        <v>349</v>
      </c>
      <c r="G8" s="11" t="s">
        <v>350</v>
      </c>
      <c r="H8" s="11"/>
    </row>
    <row r="9" ht="30" customHeight="1" spans="2:8">
      <c r="B9" s="32"/>
      <c r="C9" s="31" t="s">
        <v>351</v>
      </c>
      <c r="D9" s="9">
        <v>1</v>
      </c>
      <c r="E9" s="9" t="s">
        <v>332</v>
      </c>
      <c r="F9" s="12" t="s">
        <v>352</v>
      </c>
      <c r="G9" s="11" t="s">
        <v>353</v>
      </c>
      <c r="H9" s="11"/>
    </row>
    <row r="10" ht="60" customHeight="1" spans="2:8">
      <c r="B10" s="32"/>
      <c r="C10" s="31" t="s">
        <v>354</v>
      </c>
      <c r="D10" s="9">
        <v>1</v>
      </c>
      <c r="E10" s="9" t="s">
        <v>332</v>
      </c>
      <c r="F10" s="12" t="s">
        <v>355</v>
      </c>
      <c r="G10" s="11" t="s">
        <v>356</v>
      </c>
      <c r="H10" s="11"/>
    </row>
    <row r="11" ht="60" customHeight="1" spans="2:8">
      <c r="B11" s="29"/>
      <c r="C11" s="33" t="s">
        <v>357</v>
      </c>
      <c r="D11" s="34">
        <v>1</v>
      </c>
      <c r="E11" s="34" t="s">
        <v>332</v>
      </c>
      <c r="F11" s="35" t="s">
        <v>358</v>
      </c>
      <c r="G11" s="36" t="s">
        <v>359</v>
      </c>
      <c r="H11" s="11"/>
    </row>
    <row r="12" ht="30" customHeight="1" spans="2:8">
      <c r="B12" s="30" t="s">
        <v>360</v>
      </c>
      <c r="C12" s="10" t="s">
        <v>361</v>
      </c>
      <c r="D12" s="9">
        <v>1</v>
      </c>
      <c r="E12" s="9" t="s">
        <v>332</v>
      </c>
      <c r="F12" s="37" t="s">
        <v>362</v>
      </c>
      <c r="G12" s="38"/>
      <c r="H12" s="38"/>
    </row>
    <row r="13" customHeight="1" spans="2:8">
      <c r="B13" s="19"/>
      <c r="C13" s="19" t="s">
        <v>363</v>
      </c>
      <c r="D13" s="39">
        <f>SUM(D3:D12)</f>
        <v>21</v>
      </c>
      <c r="E13" s="19"/>
      <c r="F13" s="14"/>
      <c r="G13" s="14"/>
      <c r="H13" s="14"/>
    </row>
    <row r="14" customHeight="1" spans="2:8">
      <c r="B14" s="15" t="s">
        <v>364</v>
      </c>
      <c r="C14" s="15"/>
      <c r="D14" s="15"/>
      <c r="E14" s="15"/>
      <c r="F14" s="15"/>
      <c r="G14" s="15"/>
      <c r="H14" s="40"/>
    </row>
    <row r="15" ht="75" customHeight="1" spans="2:8">
      <c r="B15" s="29" t="s">
        <v>365</v>
      </c>
      <c r="C15" s="10" t="s">
        <v>366</v>
      </c>
      <c r="D15" s="9">
        <v>1</v>
      </c>
      <c r="E15" s="9" t="s">
        <v>332</v>
      </c>
      <c r="F15" s="37" t="s">
        <v>367</v>
      </c>
      <c r="G15" s="12" t="s">
        <v>368</v>
      </c>
      <c r="H15" s="11" t="s">
        <v>369</v>
      </c>
    </row>
    <row r="16" ht="75" customHeight="1" spans="2:8">
      <c r="B16" s="30" t="s">
        <v>370</v>
      </c>
      <c r="C16" s="10" t="s">
        <v>371</v>
      </c>
      <c r="D16" s="9">
        <v>1</v>
      </c>
      <c r="E16" s="9" t="s">
        <v>332</v>
      </c>
      <c r="F16" s="37" t="s">
        <v>372</v>
      </c>
      <c r="G16" s="12" t="s">
        <v>368</v>
      </c>
      <c r="H16" s="11" t="s">
        <v>369</v>
      </c>
    </row>
    <row r="17" ht="75" customHeight="1" spans="2:8">
      <c r="B17" s="29"/>
      <c r="C17" s="10" t="s">
        <v>373</v>
      </c>
      <c r="D17" s="9">
        <v>1</v>
      </c>
      <c r="E17" s="9" t="s">
        <v>332</v>
      </c>
      <c r="F17" s="37" t="s">
        <v>374</v>
      </c>
      <c r="G17" s="12" t="s">
        <v>368</v>
      </c>
      <c r="H17" s="12" t="s">
        <v>375</v>
      </c>
    </row>
    <row r="18" ht="60" customHeight="1" spans="2:8">
      <c r="B18" s="30" t="s">
        <v>376</v>
      </c>
      <c r="C18" s="10" t="s">
        <v>377</v>
      </c>
      <c r="D18" s="9">
        <v>1</v>
      </c>
      <c r="E18" s="9" t="s">
        <v>332</v>
      </c>
      <c r="F18" s="41" t="s">
        <v>378</v>
      </c>
      <c r="G18" s="12" t="s">
        <v>368</v>
      </c>
      <c r="H18" s="12" t="s">
        <v>375</v>
      </c>
    </row>
    <row r="19" ht="60" customHeight="1" spans="2:8">
      <c r="B19" s="29"/>
      <c r="C19" s="10" t="s">
        <v>379</v>
      </c>
      <c r="D19" s="9">
        <v>1</v>
      </c>
      <c r="E19" s="9" t="s">
        <v>332</v>
      </c>
      <c r="F19" s="41" t="s">
        <v>380</v>
      </c>
      <c r="G19" s="12" t="s">
        <v>368</v>
      </c>
      <c r="H19" s="12" t="s">
        <v>375</v>
      </c>
    </row>
    <row r="20" customHeight="1" spans="2:8">
      <c r="B20" s="42"/>
      <c r="C20" s="42"/>
      <c r="D20" s="43"/>
      <c r="E20" s="42"/>
      <c r="F20" s="44"/>
      <c r="G20" s="44"/>
      <c r="H20" s="44"/>
    </row>
    <row r="21" customHeight="1" spans="2:8">
      <c r="B21" s="19"/>
      <c r="C21" s="19" t="s">
        <v>381</v>
      </c>
      <c r="D21" s="39">
        <f>SUM(D15:D19)</f>
        <v>5</v>
      </c>
      <c r="E21" s="19"/>
      <c r="F21" s="14"/>
      <c r="G21" s="14"/>
      <c r="H21" s="14"/>
    </row>
    <row r="22" customHeight="1" spans="2:8">
      <c r="B22" s="15" t="s">
        <v>382</v>
      </c>
      <c r="C22" s="15"/>
      <c r="D22" s="15"/>
      <c r="E22" s="15"/>
      <c r="F22" s="15"/>
      <c r="G22" s="15"/>
      <c r="H22" s="1"/>
    </row>
    <row r="23" ht="75" customHeight="1" spans="2:8">
      <c r="B23" s="9" t="s">
        <v>365</v>
      </c>
      <c r="C23" s="10" t="s">
        <v>383</v>
      </c>
      <c r="D23" s="9">
        <v>1</v>
      </c>
      <c r="E23" s="9" t="s">
        <v>332</v>
      </c>
      <c r="F23" s="37" t="s">
        <v>384</v>
      </c>
      <c r="G23" s="45" t="s">
        <v>385</v>
      </c>
      <c r="H23" s="45"/>
    </row>
    <row r="24" ht="75" customHeight="1" spans="2:8">
      <c r="B24" s="30" t="s">
        <v>370</v>
      </c>
      <c r="C24" s="10" t="s">
        <v>386</v>
      </c>
      <c r="D24" s="9">
        <v>1</v>
      </c>
      <c r="E24" s="9" t="s">
        <v>332</v>
      </c>
      <c r="F24" s="37" t="s">
        <v>387</v>
      </c>
      <c r="G24" s="45" t="s">
        <v>385</v>
      </c>
      <c r="H24" s="45"/>
    </row>
    <row r="25" ht="75" customHeight="1" spans="2:8">
      <c r="B25" s="29"/>
      <c r="C25" s="10" t="s">
        <v>388</v>
      </c>
      <c r="D25" s="9">
        <v>1</v>
      </c>
      <c r="E25" s="9" t="s">
        <v>332</v>
      </c>
      <c r="F25" s="37" t="s">
        <v>389</v>
      </c>
      <c r="G25" s="45" t="s">
        <v>385</v>
      </c>
      <c r="H25" s="45"/>
    </row>
    <row r="26" ht="60" customHeight="1" spans="2:8">
      <c r="B26" s="30" t="s">
        <v>376</v>
      </c>
      <c r="C26" s="10" t="s">
        <v>390</v>
      </c>
      <c r="D26" s="9">
        <v>1</v>
      </c>
      <c r="E26" s="9" t="s">
        <v>332</v>
      </c>
      <c r="F26" s="41" t="s">
        <v>391</v>
      </c>
      <c r="G26" s="45" t="s">
        <v>385</v>
      </c>
      <c r="H26" s="45"/>
    </row>
    <row r="27" ht="60" customHeight="1" spans="2:8">
      <c r="B27" s="29"/>
      <c r="C27" s="10" t="s">
        <v>392</v>
      </c>
      <c r="D27" s="9">
        <v>1</v>
      </c>
      <c r="E27" s="9" t="s">
        <v>332</v>
      </c>
      <c r="F27" s="41" t="s">
        <v>393</v>
      </c>
      <c r="G27" s="45" t="s">
        <v>385</v>
      </c>
      <c r="H27" s="45"/>
    </row>
    <row r="28" ht="60" customHeight="1" spans="2:8">
      <c r="B28" s="9" t="s">
        <v>394</v>
      </c>
      <c r="C28" s="10" t="s">
        <v>395</v>
      </c>
      <c r="D28" s="9">
        <v>1</v>
      </c>
      <c r="E28" s="9" t="s">
        <v>332</v>
      </c>
      <c r="F28" s="37" t="s">
        <v>396</v>
      </c>
      <c r="G28" s="45" t="s">
        <v>385</v>
      </c>
      <c r="H28" s="45"/>
    </row>
    <row r="29" ht="45" customHeight="1" spans="2:8">
      <c r="B29" s="9" t="s">
        <v>397</v>
      </c>
      <c r="C29" s="10" t="s">
        <v>398</v>
      </c>
      <c r="D29" s="9">
        <v>1</v>
      </c>
      <c r="E29" s="9" t="s">
        <v>332</v>
      </c>
      <c r="F29" s="37" t="s">
        <v>399</v>
      </c>
      <c r="G29" s="45" t="s">
        <v>400</v>
      </c>
      <c r="H29" s="45"/>
    </row>
    <row r="30" ht="45" customHeight="1" spans="2:8">
      <c r="B30" s="9" t="s">
        <v>401</v>
      </c>
      <c r="C30" s="10" t="s">
        <v>402</v>
      </c>
      <c r="D30" s="9">
        <v>1</v>
      </c>
      <c r="E30" s="9" t="s">
        <v>332</v>
      </c>
      <c r="F30" s="37" t="s">
        <v>403</v>
      </c>
      <c r="G30" s="45" t="s">
        <v>400</v>
      </c>
      <c r="H30" s="45"/>
    </row>
    <row r="31" ht="45" customHeight="1" spans="2:8">
      <c r="B31" s="9" t="s">
        <v>394</v>
      </c>
      <c r="C31" s="10" t="s">
        <v>404</v>
      </c>
      <c r="D31" s="9">
        <v>1</v>
      </c>
      <c r="E31" s="9" t="s">
        <v>332</v>
      </c>
      <c r="F31" s="37" t="s">
        <v>405</v>
      </c>
      <c r="G31" s="45" t="s">
        <v>400</v>
      </c>
      <c r="H31" s="45"/>
    </row>
    <row r="32" ht="45" customHeight="1" spans="2:8">
      <c r="B32" s="9" t="s">
        <v>330</v>
      </c>
      <c r="C32" s="10" t="s">
        <v>406</v>
      </c>
      <c r="D32" s="9">
        <v>1</v>
      </c>
      <c r="E32" s="9" t="s">
        <v>332</v>
      </c>
      <c r="F32" s="12" t="s">
        <v>407</v>
      </c>
      <c r="G32" s="45" t="s">
        <v>400</v>
      </c>
      <c r="H32" s="45"/>
    </row>
    <row r="33" ht="67.5" customHeight="1" spans="2:8">
      <c r="B33" s="9" t="s">
        <v>408</v>
      </c>
      <c r="C33" s="10" t="s">
        <v>409</v>
      </c>
      <c r="D33" s="9">
        <v>4</v>
      </c>
      <c r="E33" s="9" t="s">
        <v>332</v>
      </c>
      <c r="F33" s="11" t="s">
        <v>410</v>
      </c>
      <c r="G33" s="45" t="s">
        <v>411</v>
      </c>
      <c r="H33" s="45"/>
    </row>
    <row r="34" customHeight="1" spans="2:8">
      <c r="B34" s="42"/>
      <c r="C34" s="42"/>
      <c r="D34" s="43"/>
      <c r="E34" s="42"/>
      <c r="F34" s="44"/>
      <c r="G34" s="44"/>
      <c r="H34" s="44"/>
    </row>
    <row r="35" customHeight="1" spans="2:8">
      <c r="B35" s="19"/>
      <c r="C35" s="19" t="s">
        <v>412</v>
      </c>
      <c r="D35" s="39">
        <f>SUM(D23:D33)</f>
        <v>14</v>
      </c>
      <c r="E35" s="19"/>
      <c r="F35" s="14"/>
      <c r="G35" s="14"/>
      <c r="H35" s="14"/>
    </row>
    <row r="36" customHeight="1" spans="2:8">
      <c r="B36" s="42"/>
      <c r="C36" s="42"/>
      <c r="D36" s="43"/>
      <c r="E36" s="42"/>
      <c r="F36" s="44"/>
      <c r="G36" s="44"/>
      <c r="H36" s="44"/>
    </row>
    <row r="37" customHeight="1" spans="2:8">
      <c r="B37" s="19"/>
      <c r="C37" s="16" t="s">
        <v>413</v>
      </c>
      <c r="D37" s="46">
        <f>SUM(D1:D35)/2</f>
        <v>40</v>
      </c>
      <c r="E37" s="16" t="s">
        <v>414</v>
      </c>
      <c r="F37" s="14"/>
      <c r="G37" s="14"/>
      <c r="H37" s="14"/>
    </row>
    <row r="39" customHeight="1" spans="2:8">
      <c r="B39" s="23" t="s">
        <v>415</v>
      </c>
      <c r="G39" s="47" t="s">
        <v>416</v>
      </c>
      <c r="H39" s="48">
        <v>0</v>
      </c>
    </row>
    <row r="40" customHeight="1" spans="2:8">
      <c r="B40" s="24"/>
      <c r="C40" s="25" t="s">
        <v>417</v>
      </c>
      <c r="G40" s="47" t="s">
        <v>418</v>
      </c>
      <c r="H40" s="48">
        <f>D13</f>
        <v>21</v>
      </c>
    </row>
    <row r="41" customHeight="1" spans="2:8">
      <c r="B41" s="26"/>
      <c r="D41" s="1"/>
      <c r="G41" s="47" t="s">
        <v>419</v>
      </c>
      <c r="H41" s="48">
        <f>D35</f>
        <v>14</v>
      </c>
    </row>
    <row r="42" customHeight="1" spans="2:8">
      <c r="B42" s="23" t="s">
        <v>311</v>
      </c>
      <c r="D42" s="26"/>
      <c r="G42" s="47" t="s">
        <v>420</v>
      </c>
      <c r="H42" s="48">
        <f>D21</f>
        <v>5</v>
      </c>
    </row>
    <row r="43" customHeight="1" spans="2:8">
      <c r="B43" s="24"/>
      <c r="C43" s="25" t="s">
        <v>421</v>
      </c>
    </row>
    <row r="44" customHeight="1" spans="2:8">
      <c r="B44" s="25"/>
      <c r="C44" s="25"/>
    </row>
    <row r="45" customHeight="1" spans="2:8">
      <c r="B45" s="23" t="s">
        <v>313</v>
      </c>
    </row>
    <row r="46" customHeight="1" spans="2:8">
      <c r="B46" s="24"/>
      <c r="C46" s="25" t="s">
        <v>422</v>
      </c>
    </row>
    <row r="47" customHeight="1" spans="2:8">
      <c r="B47" s="23"/>
      <c r="D47" s="23"/>
    </row>
    <row r="48" customHeight="1" spans="2:8">
      <c r="B48" s="24"/>
      <c r="C48" s="25"/>
      <c r="D48" s="26"/>
    </row>
    <row r="49" customHeight="1" spans="2:8">
      <c r="B49" s="25"/>
      <c r="C49" s="25"/>
    </row>
    <row r="50" customHeight="1" spans="2:8">
      <c r="B50" s="23"/>
      <c r="D50" s="23"/>
    </row>
    <row r="51" customHeight="1" spans="2:8">
      <c r="B51" s="24"/>
      <c r="C51" s="25"/>
      <c r="D51" s="26"/>
      <c r="G51" s="49"/>
      <c r="H51" s="49"/>
    </row>
    <row r="53" customHeight="1" spans="2:8">
      <c r="B53" s="23"/>
      <c r="D53" s="23"/>
    </row>
    <row r="54" customHeight="1" spans="2:8">
      <c r="B54" s="24"/>
      <c r="C54" s="25"/>
      <c r="D54" s="26"/>
    </row>
    <row r="61" customHeight="1" spans="2:8">
      <c r="G61" s="49"/>
      <c r="H61" s="49"/>
    </row>
    <row r="67" customHeight="1" spans="7:8">
      <c r="G67" s="49"/>
      <c r="H67" s="49"/>
    </row>
    <row r="107" customHeight="1" spans="7:8">
      <c r="G107" s="49"/>
      <c r="H107" s="49"/>
    </row>
    <row r="123" customHeight="1" spans="7:8">
      <c r="G123" s="50"/>
      <c r="H123" s="50"/>
    </row>
    <row r="126" customHeight="1" spans="7:8">
      <c r="G126" s="50"/>
      <c r="H126" s="50"/>
    </row>
  </sheetData>
  <mergeCells count="19">
    <mergeCell ref="B2:G2"/>
    <mergeCell ref="B14:G14"/>
    <mergeCell ref="B22:G22"/>
    <mergeCell ref="B4:B7"/>
    <mergeCell ref="B8:B11"/>
    <mergeCell ref="B16:B17"/>
    <mergeCell ref="B18:B19"/>
    <mergeCell ref="B24:B25"/>
    <mergeCell ref="B26:B27"/>
    <mergeCell ref="G282:G284"/>
    <mergeCell ref="G285:G287"/>
    <mergeCell ref="G291:G294"/>
    <mergeCell ref="G295:G298"/>
    <mergeCell ref="G301:G304"/>
    <mergeCell ref="H282:H284"/>
    <mergeCell ref="H285:H287"/>
    <mergeCell ref="H291:H294"/>
    <mergeCell ref="H295:H298"/>
    <mergeCell ref="H301:H304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F96"/>
  <sheetViews>
    <sheetView workbookViewId="0">
      <selection activeCell="A1" sqref="A1"/>
    </sheetView>
  </sheetViews>
  <sheetFormatPr defaultColWidth="8.875" defaultRowHeight="15" customHeight="1" outlineLevelCol="5"/>
  <cols>
    <col min="1" max="1" width="3.625" style="1" customWidth="1"/>
    <col min="2" max="2" width="12.625" style="1" customWidth="1"/>
    <col min="3" max="3" width="24.625" style="1" customWidth="1"/>
    <col min="4" max="4" width="12.625" style="2" customWidth="1"/>
    <col min="5" max="5" width="12.625" style="1" customWidth="1"/>
    <col min="6" max="6" width="48.625" style="3" customWidth="1"/>
    <col min="7" max="40" width="8.875" style="1"/>
  </cols>
  <sheetData>
    <row r="1" ht="28.5" customHeight="1" spans="2:6">
      <c r="B1" s="4" t="s">
        <v>323</v>
      </c>
      <c r="C1" s="5" t="s">
        <v>324</v>
      </c>
      <c r="D1" s="4" t="s">
        <v>325</v>
      </c>
      <c r="E1" s="6" t="s">
        <v>423</v>
      </c>
      <c r="F1" s="7" t="s">
        <v>4</v>
      </c>
    </row>
    <row r="2" customHeight="1" spans="2:6">
      <c r="B2" s="8"/>
      <c r="C2" s="8"/>
      <c r="D2" s="8"/>
      <c r="E2" s="8"/>
      <c r="F2" s="8"/>
    </row>
    <row r="3" ht="42" customHeight="1" spans="2:6">
      <c r="B3" s="9" t="s">
        <v>424</v>
      </c>
      <c r="C3" s="10" t="s">
        <v>425</v>
      </c>
      <c r="D3" s="9">
        <v>1</v>
      </c>
      <c r="E3" s="9" t="s">
        <v>332</v>
      </c>
      <c r="F3" s="11" t="s">
        <v>426</v>
      </c>
    </row>
    <row r="4" ht="44.25" customHeight="1" spans="2:6">
      <c r="B4" s="9"/>
      <c r="C4" s="10" t="s">
        <v>427</v>
      </c>
      <c r="D4" s="9">
        <v>1</v>
      </c>
      <c r="E4" s="9" t="s">
        <v>332</v>
      </c>
      <c r="F4" s="11"/>
    </row>
    <row r="5" customHeight="1" spans="2:6">
      <c r="B5" s="9"/>
      <c r="C5" s="10" t="s">
        <v>428</v>
      </c>
      <c r="D5" s="9">
        <v>1</v>
      </c>
      <c r="E5" s="9" t="s">
        <v>332</v>
      </c>
      <c r="F5" s="11" t="s">
        <v>429</v>
      </c>
    </row>
    <row r="6" ht="45" customHeight="1" spans="2:6">
      <c r="B6" s="9"/>
      <c r="C6" s="10" t="s">
        <v>430</v>
      </c>
      <c r="D6" s="9">
        <v>1</v>
      </c>
      <c r="E6" s="9" t="s">
        <v>332</v>
      </c>
      <c r="F6" s="12" t="s">
        <v>431</v>
      </c>
    </row>
    <row r="7" ht="45" customHeight="1" spans="2:6">
      <c r="B7" s="9"/>
      <c r="C7" s="10" t="s">
        <v>432</v>
      </c>
      <c r="D7" s="9">
        <v>1</v>
      </c>
      <c r="E7" s="9" t="s">
        <v>332</v>
      </c>
      <c r="F7" s="11" t="s">
        <v>433</v>
      </c>
    </row>
    <row r="8" ht="45" customHeight="1" spans="2:6">
      <c r="B8" s="9"/>
      <c r="C8" s="10" t="s">
        <v>434</v>
      </c>
      <c r="D8" s="9">
        <v>1</v>
      </c>
      <c r="E8" s="9" t="s">
        <v>332</v>
      </c>
      <c r="F8" s="12" t="s">
        <v>435</v>
      </c>
    </row>
    <row r="9" ht="45" customHeight="1" spans="2:6">
      <c r="B9" s="9"/>
      <c r="C9" s="10" t="s">
        <v>436</v>
      </c>
      <c r="D9" s="9">
        <v>1</v>
      </c>
      <c r="E9" s="9" t="s">
        <v>332</v>
      </c>
      <c r="F9" s="12" t="s">
        <v>437</v>
      </c>
    </row>
    <row r="10" ht="45" customHeight="1" spans="2:6">
      <c r="B10" s="9"/>
      <c r="C10" s="10" t="s">
        <v>438</v>
      </c>
      <c r="D10" s="9">
        <v>1</v>
      </c>
      <c r="E10" s="9" t="s">
        <v>332</v>
      </c>
      <c r="F10" s="12" t="s">
        <v>439</v>
      </c>
    </row>
    <row r="11" customHeight="1" spans="2:6">
      <c r="B11" s="9"/>
      <c r="C11" s="10" t="s">
        <v>440</v>
      </c>
      <c r="D11" s="9">
        <v>1</v>
      </c>
      <c r="E11" s="9" t="s">
        <v>441</v>
      </c>
      <c r="F11" s="13" t="s">
        <v>442</v>
      </c>
    </row>
    <row r="12" customHeight="1" spans="2:6">
      <c r="B12" s="8"/>
      <c r="C12" s="8"/>
      <c r="D12" s="8"/>
      <c r="E12" s="8"/>
      <c r="F12" s="8"/>
    </row>
    <row r="13" customHeight="1" spans="2:6">
      <c r="B13" s="9" t="s">
        <v>443</v>
      </c>
      <c r="C13" s="10" t="s">
        <v>444</v>
      </c>
      <c r="D13" s="9">
        <v>1</v>
      </c>
      <c r="E13" s="9" t="s">
        <v>332</v>
      </c>
      <c r="F13" s="12" t="s">
        <v>445</v>
      </c>
    </row>
    <row r="14" customHeight="1" spans="2:6">
      <c r="B14" s="9"/>
      <c r="C14" s="10" t="s">
        <v>446</v>
      </c>
      <c r="D14" s="9">
        <v>1</v>
      </c>
      <c r="E14" s="9" t="s">
        <v>332</v>
      </c>
      <c r="F14" s="12"/>
    </row>
    <row r="15" customHeight="1" spans="2:6">
      <c r="B15" s="9"/>
      <c r="C15" s="10" t="s">
        <v>447</v>
      </c>
      <c r="D15" s="9">
        <v>1</v>
      </c>
      <c r="E15" s="9" t="s">
        <v>332</v>
      </c>
      <c r="F15" s="11" t="s">
        <v>429</v>
      </c>
    </row>
    <row r="16" ht="45" customHeight="1" spans="2:6">
      <c r="B16" s="9"/>
      <c r="C16" s="10" t="s">
        <v>448</v>
      </c>
      <c r="D16" s="9">
        <v>1</v>
      </c>
      <c r="E16" s="9" t="s">
        <v>332</v>
      </c>
      <c r="F16" s="12" t="s">
        <v>431</v>
      </c>
    </row>
    <row r="17" ht="45" customHeight="1" spans="2:6">
      <c r="B17" s="9"/>
      <c r="C17" s="10" t="s">
        <v>449</v>
      </c>
      <c r="D17" s="9">
        <v>1</v>
      </c>
      <c r="E17" s="9" t="s">
        <v>332</v>
      </c>
      <c r="F17" s="11" t="s">
        <v>433</v>
      </c>
    </row>
    <row r="18" ht="45" customHeight="1" spans="2:6">
      <c r="B18" s="9"/>
      <c r="C18" s="10" t="s">
        <v>450</v>
      </c>
      <c r="D18" s="9">
        <v>1</v>
      </c>
      <c r="E18" s="9" t="s">
        <v>332</v>
      </c>
      <c r="F18" s="12" t="s">
        <v>435</v>
      </c>
    </row>
    <row r="19" ht="45" customHeight="1" spans="2:6">
      <c r="B19" s="9"/>
      <c r="C19" s="10" t="s">
        <v>451</v>
      </c>
      <c r="D19" s="9">
        <v>1</v>
      </c>
      <c r="E19" s="9" t="s">
        <v>332</v>
      </c>
      <c r="F19" s="12" t="s">
        <v>437</v>
      </c>
    </row>
    <row r="20" ht="45" customHeight="1" spans="2:6">
      <c r="B20" s="9"/>
      <c r="C20" s="10" t="s">
        <v>452</v>
      </c>
      <c r="D20" s="9">
        <v>1</v>
      </c>
      <c r="E20" s="9" t="s">
        <v>332</v>
      </c>
      <c r="F20" s="12" t="s">
        <v>439</v>
      </c>
    </row>
    <row r="21" customHeight="1" spans="2:6">
      <c r="B21" s="9"/>
      <c r="C21" s="10" t="s">
        <v>453</v>
      </c>
      <c r="D21" s="9">
        <v>1</v>
      </c>
      <c r="E21" s="9" t="s">
        <v>441</v>
      </c>
      <c r="F21" s="13" t="s">
        <v>442</v>
      </c>
    </row>
    <row r="22" customHeight="1" spans="2:6">
      <c r="B22" s="8"/>
      <c r="C22" s="8"/>
      <c r="D22" s="8"/>
      <c r="E22" s="8"/>
      <c r="F22" s="8"/>
    </row>
    <row r="23" customHeight="1" spans="2:6">
      <c r="B23" s="9" t="s">
        <v>454</v>
      </c>
      <c r="C23" s="14"/>
      <c r="D23" s="9">
        <v>9</v>
      </c>
      <c r="E23" s="14"/>
      <c r="F23" s="14"/>
    </row>
    <row r="24" customHeight="1" spans="2:6">
      <c r="B24" s="9" t="s">
        <v>455</v>
      </c>
      <c r="C24" s="14"/>
      <c r="D24" s="9">
        <v>9</v>
      </c>
      <c r="E24" s="14"/>
      <c r="F24" s="14"/>
    </row>
    <row r="25" customHeight="1" spans="2:6">
      <c r="B25" s="9" t="s">
        <v>456</v>
      </c>
      <c r="C25" s="14"/>
      <c r="D25" s="9">
        <v>9</v>
      </c>
      <c r="E25" s="14"/>
      <c r="F25" s="14"/>
    </row>
    <row r="26" customHeight="1" spans="2:6">
      <c r="B26" s="9" t="s">
        <v>457</v>
      </c>
      <c r="C26" s="14"/>
      <c r="D26" s="9">
        <v>9</v>
      </c>
      <c r="E26" s="14"/>
      <c r="F26" s="14"/>
    </row>
    <row r="27" customHeight="1" spans="2:6">
      <c r="B27" s="9" t="s">
        <v>458</v>
      </c>
      <c r="C27" s="14"/>
      <c r="D27" s="9">
        <v>9</v>
      </c>
      <c r="E27" s="14"/>
      <c r="F27" s="14"/>
    </row>
    <row r="28" customHeight="1" spans="2:6">
      <c r="B28" s="9" t="s">
        <v>459</v>
      </c>
      <c r="C28" s="14"/>
      <c r="D28" s="9">
        <v>9</v>
      </c>
      <c r="E28" s="14"/>
      <c r="F28" s="14"/>
    </row>
    <row r="29" customHeight="1" spans="2:6">
      <c r="B29" s="9" t="s">
        <v>460</v>
      </c>
      <c r="C29" s="14"/>
      <c r="D29" s="9">
        <v>9</v>
      </c>
      <c r="E29" s="14"/>
      <c r="F29" s="14"/>
    </row>
    <row r="30" customHeight="1" spans="2:6">
      <c r="B30" s="9" t="s">
        <v>461</v>
      </c>
      <c r="C30" s="14"/>
      <c r="D30" s="9">
        <v>9</v>
      </c>
      <c r="E30" s="14"/>
      <c r="F30" s="14"/>
    </row>
    <row r="31" customHeight="1" spans="2:6">
      <c r="B31" s="9" t="s">
        <v>462</v>
      </c>
      <c r="C31" s="14"/>
      <c r="D31" s="9">
        <v>9</v>
      </c>
      <c r="E31" s="14"/>
      <c r="F31" s="14"/>
    </row>
    <row r="32" customHeight="1" spans="2:6">
      <c r="B32" s="9" t="s">
        <v>463</v>
      </c>
      <c r="C32" s="14"/>
      <c r="D32" s="9">
        <v>9</v>
      </c>
      <c r="E32" s="14"/>
      <c r="F32" s="14"/>
    </row>
    <row r="33" customHeight="1" spans="2:6">
      <c r="B33" s="9" t="s">
        <v>464</v>
      </c>
      <c r="C33" s="14"/>
      <c r="D33" s="9">
        <v>9</v>
      </c>
      <c r="E33" s="14"/>
      <c r="F33" s="14"/>
    </row>
    <row r="34" customHeight="1" spans="2:6">
      <c r="B34" s="9" t="s">
        <v>465</v>
      </c>
      <c r="C34" s="14"/>
      <c r="D34" s="9">
        <v>9</v>
      </c>
      <c r="E34" s="14"/>
      <c r="F34" s="14"/>
    </row>
    <row r="35" customHeight="1" spans="2:6">
      <c r="B35" s="9" t="s">
        <v>466</v>
      </c>
      <c r="C35" s="14"/>
      <c r="D35" s="9">
        <v>9</v>
      </c>
      <c r="E35" s="14"/>
      <c r="F35" s="14"/>
    </row>
    <row r="36" customHeight="1" spans="2:6">
      <c r="B36" s="9" t="s">
        <v>467</v>
      </c>
      <c r="C36" s="14"/>
      <c r="D36" s="9">
        <v>9</v>
      </c>
      <c r="E36" s="14"/>
      <c r="F36" s="14"/>
    </row>
    <row r="37" customHeight="1" spans="2:6">
      <c r="B37" s="9" t="s">
        <v>468</v>
      </c>
      <c r="C37" s="14"/>
      <c r="D37" s="9">
        <v>9</v>
      </c>
      <c r="E37" s="14"/>
      <c r="F37" s="14"/>
    </row>
    <row r="38" customHeight="1" spans="2:6">
      <c r="B38" s="9" t="s">
        <v>469</v>
      </c>
      <c r="C38" s="14"/>
      <c r="D38" s="9">
        <v>9</v>
      </c>
      <c r="E38" s="14"/>
      <c r="F38" s="14"/>
    </row>
    <row r="39" customHeight="1" spans="2:6">
      <c r="B39" s="9" t="s">
        <v>470</v>
      </c>
      <c r="C39" s="14"/>
      <c r="D39" s="9">
        <v>9</v>
      </c>
      <c r="E39" s="14"/>
      <c r="F39" s="14"/>
    </row>
    <row r="40" customHeight="1" spans="2:6">
      <c r="B40" s="9" t="s">
        <v>471</v>
      </c>
      <c r="C40" s="14"/>
      <c r="D40" s="9">
        <v>9</v>
      </c>
      <c r="E40" s="14"/>
      <c r="F40" s="14"/>
    </row>
    <row r="41" customHeight="1" spans="2:6">
      <c r="B41" s="9" t="s">
        <v>472</v>
      </c>
      <c r="C41" s="14"/>
      <c r="D41" s="9">
        <v>9</v>
      </c>
      <c r="E41" s="14"/>
      <c r="F41" s="14"/>
    </row>
    <row r="42" customHeight="1" spans="2:6">
      <c r="B42" s="9" t="s">
        <v>473</v>
      </c>
      <c r="C42" s="14"/>
      <c r="D42" s="9">
        <v>9</v>
      </c>
      <c r="E42" s="14"/>
      <c r="F42" s="14"/>
    </row>
    <row r="43" customHeight="1" spans="2:6">
      <c r="B43" s="9" t="s">
        <v>474</v>
      </c>
      <c r="C43" s="14"/>
      <c r="D43" s="9">
        <v>9</v>
      </c>
      <c r="E43" s="14"/>
      <c r="F43" s="14"/>
    </row>
    <row r="44" customHeight="1" spans="2:6">
      <c r="B44" s="9" t="s">
        <v>475</v>
      </c>
      <c r="C44" s="14"/>
      <c r="D44" s="9">
        <v>9</v>
      </c>
      <c r="E44" s="14"/>
      <c r="F44" s="14"/>
    </row>
    <row r="45" customHeight="1" spans="2:6">
      <c r="B45" s="9" t="s">
        <v>476</v>
      </c>
      <c r="C45" s="14"/>
      <c r="D45" s="9">
        <v>9</v>
      </c>
      <c r="E45" s="14"/>
      <c r="F45" s="14"/>
    </row>
    <row r="46" customHeight="1" spans="2:6">
      <c r="B46" s="9" t="s">
        <v>477</v>
      </c>
      <c r="C46" s="14"/>
      <c r="D46" s="9">
        <v>9</v>
      </c>
      <c r="E46" s="14"/>
      <c r="F46" s="14"/>
    </row>
    <row r="47" customHeight="1" spans="2:6">
      <c r="B47" s="9" t="s">
        <v>478</v>
      </c>
      <c r="C47" s="14"/>
      <c r="D47" s="9">
        <v>9</v>
      </c>
      <c r="E47" s="14"/>
      <c r="F47" s="14"/>
    </row>
    <row r="48" customHeight="1" spans="2:6">
      <c r="B48" s="9" t="s">
        <v>479</v>
      </c>
      <c r="C48" s="14"/>
      <c r="D48" s="9">
        <v>9</v>
      </c>
      <c r="E48" s="14"/>
      <c r="F48" s="14"/>
    </row>
    <row r="49" customHeight="1" spans="2:6">
      <c r="B49" s="9" t="s">
        <v>480</v>
      </c>
      <c r="C49" s="14"/>
      <c r="D49" s="9">
        <v>9</v>
      </c>
      <c r="E49" s="14"/>
      <c r="F49" s="14"/>
    </row>
    <row r="50" customHeight="1" spans="2:6">
      <c r="B50" s="9" t="s">
        <v>481</v>
      </c>
      <c r="C50" s="14"/>
      <c r="D50" s="9">
        <v>9</v>
      </c>
      <c r="E50" s="14"/>
      <c r="F50" s="14"/>
    </row>
    <row r="51" customHeight="1" spans="2:6">
      <c r="B51" s="9" t="s">
        <v>482</v>
      </c>
      <c r="C51" s="14"/>
      <c r="D51" s="9">
        <v>9</v>
      </c>
      <c r="E51" s="14"/>
      <c r="F51" s="14"/>
    </row>
    <row r="52" customHeight="1" spans="2:6">
      <c r="B52" s="9" t="s">
        <v>483</v>
      </c>
      <c r="C52" s="14"/>
      <c r="D52" s="9">
        <v>9</v>
      </c>
      <c r="E52" s="14"/>
      <c r="F52" s="14"/>
    </row>
    <row r="53" customHeight="1" spans="2:6">
      <c r="B53" s="9" t="s">
        <v>484</v>
      </c>
      <c r="C53" s="14"/>
      <c r="D53" s="9">
        <v>9</v>
      </c>
      <c r="E53" s="14"/>
      <c r="F53" s="14"/>
    </row>
    <row r="54" customHeight="1" spans="2:6">
      <c r="B54" s="9" t="s">
        <v>485</v>
      </c>
      <c r="C54" s="14"/>
      <c r="D54" s="9">
        <v>9</v>
      </c>
      <c r="E54" s="14"/>
      <c r="F54" s="14"/>
    </row>
    <row r="55" customHeight="1" spans="2:6">
      <c r="B55" s="9" t="s">
        <v>486</v>
      </c>
      <c r="C55" s="14"/>
      <c r="D55" s="9">
        <v>9</v>
      </c>
      <c r="E55" s="14"/>
      <c r="F55" s="14"/>
    </row>
    <row r="56" customHeight="1" spans="2:6">
      <c r="B56" s="9" t="s">
        <v>487</v>
      </c>
      <c r="C56" s="14"/>
      <c r="D56" s="9">
        <v>9</v>
      </c>
      <c r="E56" s="14"/>
      <c r="F56" s="14"/>
    </row>
    <row r="57" customHeight="1" spans="2:6">
      <c r="B57" s="9" t="s">
        <v>488</v>
      </c>
      <c r="C57" s="14"/>
      <c r="D57" s="9">
        <v>9</v>
      </c>
      <c r="E57" s="14"/>
      <c r="F57" s="14"/>
    </row>
    <row r="58" customHeight="1" spans="2:6">
      <c r="B58" s="9" t="s">
        <v>489</v>
      </c>
      <c r="C58" s="14"/>
      <c r="D58" s="9">
        <v>9</v>
      </c>
      <c r="E58" s="14"/>
      <c r="F58" s="14"/>
    </row>
    <row r="59" customHeight="1" spans="2:6">
      <c r="B59" s="9" t="s">
        <v>490</v>
      </c>
      <c r="C59" s="14"/>
      <c r="D59" s="9">
        <v>9</v>
      </c>
      <c r="E59" s="14"/>
      <c r="F59" s="14"/>
    </row>
    <row r="60" customHeight="1" spans="2:6">
      <c r="B60" s="9" t="s">
        <v>491</v>
      </c>
      <c r="C60" s="14"/>
      <c r="D60" s="9">
        <v>9</v>
      </c>
      <c r="E60" s="14"/>
      <c r="F60" s="14"/>
    </row>
    <row r="61" customHeight="1" spans="2:6">
      <c r="B61" s="8"/>
      <c r="C61" s="8"/>
      <c r="D61" s="8"/>
      <c r="E61" s="8"/>
      <c r="F61" s="8"/>
    </row>
    <row r="62" ht="45.75" customHeight="1" spans="2:6">
      <c r="B62" s="9" t="s">
        <v>492</v>
      </c>
      <c r="C62" s="10" t="s">
        <v>493</v>
      </c>
      <c r="D62" s="9">
        <v>1</v>
      </c>
      <c r="E62" s="9" t="s">
        <v>332</v>
      </c>
      <c r="F62" s="11" t="s">
        <v>426</v>
      </c>
    </row>
    <row r="63" ht="36.75" customHeight="1" spans="2:6">
      <c r="B63" s="9"/>
      <c r="C63" s="10" t="s">
        <v>494</v>
      </c>
      <c r="D63" s="9">
        <v>1</v>
      </c>
      <c r="E63" s="9" t="s">
        <v>332</v>
      </c>
      <c r="F63" s="11"/>
    </row>
    <row r="64" customHeight="1" spans="2:6">
      <c r="B64" s="9"/>
      <c r="C64" s="10" t="s">
        <v>495</v>
      </c>
      <c r="D64" s="9">
        <v>1</v>
      </c>
      <c r="E64" s="9" t="s">
        <v>332</v>
      </c>
      <c r="F64" s="11" t="s">
        <v>429</v>
      </c>
    </row>
    <row r="65" ht="45" customHeight="1" spans="2:6">
      <c r="B65" s="9"/>
      <c r="C65" s="10" t="s">
        <v>496</v>
      </c>
      <c r="D65" s="9">
        <v>1</v>
      </c>
      <c r="E65" s="9" t="s">
        <v>332</v>
      </c>
      <c r="F65" s="12" t="s">
        <v>431</v>
      </c>
    </row>
    <row r="66" ht="45" customHeight="1" spans="2:6">
      <c r="B66" s="9"/>
      <c r="C66" s="10" t="s">
        <v>497</v>
      </c>
      <c r="D66" s="9">
        <v>1</v>
      </c>
      <c r="E66" s="9" t="s">
        <v>332</v>
      </c>
      <c r="F66" s="11" t="s">
        <v>433</v>
      </c>
    </row>
    <row r="67" ht="45" customHeight="1" spans="2:6">
      <c r="B67" s="9"/>
      <c r="C67" s="10" t="s">
        <v>498</v>
      </c>
      <c r="D67" s="9">
        <v>1</v>
      </c>
      <c r="E67" s="9" t="s">
        <v>332</v>
      </c>
      <c r="F67" s="12" t="s">
        <v>435</v>
      </c>
    </row>
    <row r="68" ht="45" customHeight="1" spans="2:6">
      <c r="B68" s="9"/>
      <c r="C68" s="10" t="s">
        <v>499</v>
      </c>
      <c r="D68" s="9">
        <v>1</v>
      </c>
      <c r="E68" s="9" t="s">
        <v>332</v>
      </c>
      <c r="F68" s="12" t="s">
        <v>437</v>
      </c>
    </row>
    <row r="69" ht="45" customHeight="1" spans="2:6">
      <c r="B69" s="9"/>
      <c r="C69" s="10" t="s">
        <v>500</v>
      </c>
      <c r="D69" s="9">
        <v>1</v>
      </c>
      <c r="E69" s="9" t="s">
        <v>332</v>
      </c>
      <c r="F69" s="12" t="s">
        <v>439</v>
      </c>
    </row>
    <row r="70" customHeight="1" spans="2:6">
      <c r="B70" s="9"/>
      <c r="C70" s="10" t="s">
        <v>501</v>
      </c>
      <c r="D70" s="9">
        <v>1</v>
      </c>
      <c r="E70" s="9" t="s">
        <v>441</v>
      </c>
      <c r="F70" s="13" t="s">
        <v>442</v>
      </c>
    </row>
    <row r="71" customHeight="1" spans="2:6">
      <c r="B71" s="15"/>
      <c r="C71" s="15"/>
      <c r="D71" s="15"/>
      <c r="E71" s="15"/>
      <c r="F71" s="15"/>
    </row>
    <row r="72" customHeight="1" spans="2:6">
      <c r="B72" s="14"/>
      <c r="C72" s="16" t="s">
        <v>502</v>
      </c>
      <c r="D72" s="17">
        <f>7*41</f>
        <v>287</v>
      </c>
      <c r="E72" s="16" t="s">
        <v>414</v>
      </c>
      <c r="F72" s="18" t="s">
        <v>503</v>
      </c>
    </row>
    <row r="73" customHeight="1" spans="2:6">
      <c r="B73" s="19"/>
      <c r="C73" s="16" t="s">
        <v>413</v>
      </c>
      <c r="D73" s="17">
        <f>SUM(D3:D71)</f>
        <v>369</v>
      </c>
      <c r="E73" s="16" t="s">
        <v>414</v>
      </c>
      <c r="F73" s="18" t="s">
        <v>504</v>
      </c>
    </row>
    <row r="75" ht="60" customHeight="1" spans="2:6">
      <c r="B75" s="20"/>
      <c r="C75" s="21" t="s">
        <v>505</v>
      </c>
      <c r="D75" s="22">
        <v>41</v>
      </c>
      <c r="E75" s="21" t="s">
        <v>506</v>
      </c>
      <c r="F75" s="21" t="s">
        <v>507</v>
      </c>
    </row>
    <row r="76" ht="45" customHeight="1" spans="2:6">
      <c r="B76" s="9"/>
      <c r="C76" s="21" t="s">
        <v>508</v>
      </c>
      <c r="D76" s="22">
        <v>41</v>
      </c>
      <c r="E76" s="21" t="s">
        <v>506</v>
      </c>
      <c r="F76" s="21" t="s">
        <v>509</v>
      </c>
    </row>
    <row r="77" ht="43.5" customHeight="1" spans="2:6">
      <c r="B77" s="9"/>
      <c r="C77" s="21" t="s">
        <v>510</v>
      </c>
      <c r="D77" s="22">
        <v>41</v>
      </c>
      <c r="E77" s="21" t="s">
        <v>506</v>
      </c>
      <c r="F77" s="21" t="s">
        <v>511</v>
      </c>
    </row>
    <row r="78" customHeight="1" spans="2:6">
      <c r="B78" s="9"/>
      <c r="C78" s="14"/>
      <c r="D78" s="9"/>
      <c r="E78" s="14"/>
      <c r="F78" s="14"/>
    </row>
    <row r="79" customHeight="1" spans="2:6">
      <c r="B79" s="9"/>
      <c r="C79" s="14"/>
      <c r="D79" s="9"/>
      <c r="E79" s="14"/>
      <c r="F79" s="14"/>
    </row>
    <row r="80" customHeight="1" spans="2:6">
      <c r="B80" s="9"/>
      <c r="C80" s="14"/>
      <c r="D80" s="9"/>
      <c r="E80" s="14"/>
      <c r="F80" s="14"/>
    </row>
    <row r="81" customHeight="1" spans="2:4">
      <c r="B81" s="23"/>
    </row>
    <row r="82" customHeight="1" spans="2:4">
      <c r="B82" s="24"/>
      <c r="C82" s="25"/>
    </row>
    <row r="83" customHeight="1" spans="2:4">
      <c r="B83" s="26"/>
      <c r="D83" s="1"/>
    </row>
    <row r="84" customHeight="1" spans="2:4">
      <c r="B84" s="23" t="s">
        <v>311</v>
      </c>
      <c r="D84" s="26"/>
    </row>
    <row r="85" customHeight="1" spans="2:4">
      <c r="B85" s="24"/>
      <c r="C85" s="25" t="s">
        <v>512</v>
      </c>
    </row>
    <row r="86" customHeight="1" spans="2:4">
      <c r="B86" s="25"/>
      <c r="C86" s="25"/>
    </row>
    <row r="87" customHeight="1" spans="2:4">
      <c r="B87" s="23" t="s">
        <v>314</v>
      </c>
    </row>
    <row r="88" customHeight="1" spans="2:4">
      <c r="B88" s="24"/>
      <c r="C88" s="25" t="s">
        <v>513</v>
      </c>
    </row>
    <row r="89" customHeight="1" spans="2:4">
      <c r="B89" s="23"/>
      <c r="D89" s="23"/>
    </row>
    <row r="90" customHeight="1" spans="2:4">
      <c r="B90" s="24"/>
      <c r="C90" s="25"/>
      <c r="D90" s="26"/>
    </row>
    <row r="91" customHeight="1" spans="2:4">
      <c r="B91" s="25"/>
      <c r="C91" s="25"/>
    </row>
    <row r="92" customHeight="1" spans="2:4">
      <c r="B92" s="23"/>
      <c r="D92" s="23"/>
    </row>
    <row r="93" customHeight="1" spans="2:4">
      <c r="B93" s="24"/>
      <c r="C93" s="25"/>
      <c r="D93" s="26"/>
    </row>
    <row r="95" customHeight="1" spans="2:4">
      <c r="B95" s="23"/>
      <c r="D95" s="23"/>
    </row>
    <row r="96" customHeight="1" spans="2:4">
      <c r="B96" s="24"/>
      <c r="C96" s="25"/>
      <c r="D96" s="26"/>
    </row>
  </sheetData>
  <mergeCells count="11">
    <mergeCell ref="B2:F2"/>
    <mergeCell ref="B12:F12"/>
    <mergeCell ref="B22:F22"/>
    <mergeCell ref="B61:F61"/>
    <mergeCell ref="B71:F71"/>
    <mergeCell ref="B3:B11"/>
    <mergeCell ref="B13:B21"/>
    <mergeCell ref="B62:B70"/>
    <mergeCell ref="F3:F4"/>
    <mergeCell ref="F13:F14"/>
    <mergeCell ref="F62:F63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模拟寄存器</vt:lpstr>
      <vt:lpstr>数模接口信号</vt:lpstr>
      <vt:lpstr>GPIO接口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额额额</cp:lastModifiedBy>
  <dcterms:created xsi:type="dcterms:W3CDTF">2006-09-16T00:00:00Z</dcterms:created>
  <dcterms:modified xsi:type="dcterms:W3CDTF">2026-08-28T07:08:54Z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7EACAABF6D654E229DAA5186F2225382_12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
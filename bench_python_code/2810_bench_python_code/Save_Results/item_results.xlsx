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汇总一览表" sheetId="1" state="visible" r:id="rId1"/>
    <sheet xmlns:r="http://schemas.openxmlformats.org/officeDocument/2006/relationships" name="OS" sheetId="2" state="visible" r:id="rId2"/>
    <sheet xmlns:r="http://schemas.openxmlformats.org/officeDocument/2006/relationships" name="ADC_DNL" sheetId="3" state="visible" r:id="rId3"/>
    <sheet xmlns:r="http://schemas.openxmlformats.org/officeDocument/2006/relationships" name="COMP0HYS" sheetId="4" state="visible" r:id="rId4"/>
    <sheet xmlns:r="http://schemas.openxmlformats.org/officeDocument/2006/relationships" name="COMP0HYS2" sheetId="5" state="visible" r:id="rId5"/>
    <sheet xmlns:r="http://schemas.openxmlformats.org/officeDocument/2006/relationships" name="COMP1HYS" sheetId="6" state="visible" r:id="rId6"/>
    <sheet xmlns:r="http://schemas.openxmlformats.org/officeDocument/2006/relationships" name="COMP1HYS2" sheetId="7" state="visible" r:id="rId7"/>
    <sheet xmlns:r="http://schemas.openxmlformats.org/officeDocument/2006/relationships" name="COMP2HYS" sheetId="8" state="visible" r:id="rId8"/>
    <sheet xmlns:r="http://schemas.openxmlformats.org/officeDocument/2006/relationships" name="COMP2HYS2" sheetId="9" state="visible" r:id="rId9"/>
    <sheet xmlns:r="http://schemas.openxmlformats.org/officeDocument/2006/relationships" name="COMP4HYS" sheetId="10" state="visible" r:id="rId10"/>
    <sheet xmlns:r="http://schemas.openxmlformats.org/officeDocument/2006/relationships" name="COMP5HYS" sheetId="11" state="visible" r:id="rId11"/>
    <sheet xmlns:r="http://schemas.openxmlformats.org/officeDocument/2006/relationships" name="CPU运行" sheetId="12" state="visible" r:id="rId12"/>
    <sheet xmlns:r="http://schemas.openxmlformats.org/officeDocument/2006/relationships" name="DAC0_DNL" sheetId="13" state="visible" r:id="rId13"/>
    <sheet xmlns:r="http://schemas.openxmlformats.org/officeDocument/2006/relationships" name="DAC1_DNL" sheetId="14" state="visible" r:id="rId14"/>
    <sheet xmlns:r="http://schemas.openxmlformats.org/officeDocument/2006/relationships" name="FOC运行" sheetId="15" state="visible" r:id="rId15"/>
    <sheet xmlns:r="http://schemas.openxmlformats.org/officeDocument/2006/relationships" name="INORMAL" sheetId="16" state="visible" r:id="rId16"/>
    <sheet xmlns:r="http://schemas.openxmlformats.org/officeDocument/2006/relationships" name="IO-IH" sheetId="17" state="visible" r:id="rId17"/>
    <sheet xmlns:r="http://schemas.openxmlformats.org/officeDocument/2006/relationships" name="IO-IL" sheetId="18" state="visible" r:id="rId18"/>
    <sheet xmlns:r="http://schemas.openxmlformats.org/officeDocument/2006/relationships" name="IO-OH" sheetId="19" state="visible" r:id="rId19"/>
    <sheet xmlns:r="http://schemas.openxmlformats.org/officeDocument/2006/relationships" name="IO-OL" sheetId="20" state="visible" r:id="rId20"/>
    <sheet xmlns:r="http://schemas.openxmlformats.org/officeDocument/2006/relationships" name="IO_PD_RES" sheetId="21" state="visible" r:id="rId21"/>
    <sheet xmlns:r="http://schemas.openxmlformats.org/officeDocument/2006/relationships" name="IO_PU_RES" sheetId="22" state="visible" r:id="rId22"/>
    <sheet xmlns:r="http://schemas.openxmlformats.org/officeDocument/2006/relationships" name="ISLEEP" sheetId="23" state="visible" r:id="rId23"/>
    <sheet xmlns:r="http://schemas.openxmlformats.org/officeDocument/2006/relationships" name="IUerror" sheetId="24" state="visible" r:id="rId24"/>
    <sheet xmlns:r="http://schemas.openxmlformats.org/officeDocument/2006/relationships" name="IVerror" sheetId="25" state="visible" r:id="rId25"/>
    <sheet xmlns:r="http://schemas.openxmlformats.org/officeDocument/2006/relationships" name="IWerror" sheetId="26" state="visible" r:id="rId26"/>
    <sheet xmlns:r="http://schemas.openxmlformats.org/officeDocument/2006/relationships" name="OSC_24M" sheetId="27" state="visible" r:id="rId27"/>
    <sheet xmlns:r="http://schemas.openxmlformats.org/officeDocument/2006/relationships" name="OSC_33K" sheetId="28" state="visible" r:id="rId28"/>
    <sheet xmlns:r="http://schemas.openxmlformats.org/officeDocument/2006/relationships" name="PWM_Frequency" sheetId="29" state="visible" r:id="rId29"/>
    <sheet xmlns:r="http://schemas.openxmlformats.org/officeDocument/2006/relationships" name="PWM_H" sheetId="30" state="visible" r:id="rId30"/>
    <sheet xmlns:r="http://schemas.openxmlformats.org/officeDocument/2006/relationships" name="PWM_L" sheetId="31" state="visible" r:id="rId31"/>
    <sheet xmlns:r="http://schemas.openxmlformats.org/officeDocument/2006/relationships" name="PWM_duty" sheetId="32" state="visible" r:id="rId32"/>
    <sheet xmlns:r="http://schemas.openxmlformats.org/officeDocument/2006/relationships" name="RES_BEMF" sheetId="33" state="visible" r:id="rId33"/>
    <sheet xmlns:r="http://schemas.openxmlformats.org/officeDocument/2006/relationships" name="RES_BEMF_ERROR24M" sheetId="34" state="visible" r:id="rId34"/>
    <sheet xmlns:r="http://schemas.openxmlformats.org/officeDocument/2006/relationships" name="UVLO_INT" sheetId="35" state="visible" r:id="rId35"/>
    <sheet xmlns:r="http://schemas.openxmlformats.org/officeDocument/2006/relationships" name="UVLO_INT_HYS" sheetId="36" state="visible" r:id="rId36"/>
    <sheet xmlns:r="http://schemas.openxmlformats.org/officeDocument/2006/relationships" name="UVLO_RSTH" sheetId="37" state="visible" r:id="rId37"/>
    <sheet xmlns:r="http://schemas.openxmlformats.org/officeDocument/2006/relationships" name="UVLO_RST_HYS" sheetId="38" state="visible" r:id="rId38"/>
    <sheet xmlns:r="http://schemas.openxmlformats.org/officeDocument/2006/relationships" name="VAZ0" sheetId="39" state="visible" r:id="rId39"/>
    <sheet xmlns:r="http://schemas.openxmlformats.org/officeDocument/2006/relationships" name="VAZ1" sheetId="40" state="visible" r:id="rId40"/>
    <sheet xmlns:r="http://schemas.openxmlformats.org/officeDocument/2006/relationships" name="VAZ2" sheetId="41" state="visible" r:id="rId41"/>
    <sheet xmlns:r="http://schemas.openxmlformats.org/officeDocument/2006/relationships" name="VBG" sheetId="42" state="visible" r:id="rId42"/>
    <sheet xmlns:r="http://schemas.openxmlformats.org/officeDocument/2006/relationships" name="VHALF" sheetId="43" state="visible" r:id="rId43"/>
    <sheet xmlns:r="http://schemas.openxmlformats.org/officeDocument/2006/relationships" name="VPTAT" sheetId="44" state="visible" r:id="rId44"/>
    <sheet xmlns:r="http://schemas.openxmlformats.org/officeDocument/2006/relationships" name="VREF" sheetId="45" state="visible" r:id="rId45"/>
    <sheet xmlns:r="http://schemas.openxmlformats.org/officeDocument/2006/relationships" name="VS_ERROR" sheetId="46" state="visible" r:id="rId46"/>
    <sheet xmlns:r="http://schemas.openxmlformats.org/officeDocument/2006/relationships" name="VUerror" sheetId="47" state="visible" r:id="rId47"/>
    <sheet xmlns:r="http://schemas.openxmlformats.org/officeDocument/2006/relationships" name="VWerror" sheetId="48" state="visible" r:id="rId48"/>
    <sheet xmlns:r="http://schemas.openxmlformats.org/officeDocument/2006/relationships" name="Voffset" sheetId="49" state="visible" r:id="rId4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sz val="14"/>
      <scheme val="minor"/>
    </font>
    <font>
      <name val="宋体"/>
      <charset val="134"/>
      <sz val="11"/>
      <scheme val="minor"/>
    </font>
    <font>
      <name val="宋体"/>
      <charset val="134"/>
      <color theme="1"/>
      <sz val="14"/>
      <scheme val="minor"/>
    </font>
    <font>
      <name val="等线"/>
      <charset val="134"/>
      <b val="1"/>
      <color rgb="FF000000"/>
      <sz val="11"/>
    </font>
    <font>
      <name val="宋体"/>
      <charset val="134"/>
      <sz val="14"/>
    </font>
    <font>
      <name val="等线"/>
      <charset val="134"/>
      <sz val="14"/>
    </font>
    <font>
      <name val="Microsoft YaHei"/>
      <charset val="134"/>
      <b val="1"/>
      <color rgb="FF000000"/>
      <sz val="11"/>
    </font>
    <font>
      <name val="Microsoft YaHei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等线"/>
      <charset val="134"/>
      <b val="1"/>
      <sz val="11"/>
    </font>
    <font>
      <name val="等线"/>
      <charset val="134"/>
      <color rgb="FF000000"/>
      <sz val="11"/>
    </font>
    <font>
      <name val="Microsoft YaHei"/>
      <charset val="134"/>
      <sz val="10"/>
    </font>
    <font>
      <name val="Microsoft YaHei"/>
      <charset val="134"/>
      <color theme="1"/>
      <sz val="10"/>
    </font>
    <font>
      <name val="Microsoft YaHei"/>
      <charset val="134"/>
      <color rgb="FFEE0000"/>
      <sz val="10"/>
    </font>
    <font>
      <name val="Times New Roman"/>
      <charset val="134"/>
      <color theme="1"/>
      <sz val="10.5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" fillId="0" borderId="0" applyAlignment="1">
      <alignment vertical="center"/>
    </xf>
    <xf numFmtId="0" fontId="0" fillId="4" borderId="6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7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2" fillId="0" borderId="0" applyAlignment="1">
      <alignment vertical="center"/>
    </xf>
    <xf numFmtId="0" fontId="23" fillId="5" borderId="9" applyAlignment="1">
      <alignment vertical="center"/>
    </xf>
    <xf numFmtId="0" fontId="24" fillId="6" borderId="10" applyAlignment="1">
      <alignment vertical="center"/>
    </xf>
    <xf numFmtId="0" fontId="25" fillId="6" borderId="9" applyAlignment="1">
      <alignment vertical="center"/>
    </xf>
    <xf numFmtId="0" fontId="26" fillId="7" borderId="11" applyAlignment="1">
      <alignment vertical="center"/>
    </xf>
    <xf numFmtId="0" fontId="27" fillId="0" borderId="12" applyAlignment="1">
      <alignment vertical="center"/>
    </xf>
    <xf numFmtId="0" fontId="28" fillId="0" borderId="13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3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2" fillId="22" borderId="0" applyAlignment="1">
      <alignment vertical="center"/>
    </xf>
    <xf numFmtId="0" fontId="32" fillId="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2" fillId="33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6">
      <alignment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6">
      <alignment horizontal="center" vertical="center"/>
    </xf>
    <xf numFmtId="0" fontId="10" fillId="0" borderId="0" applyAlignment="1" pivotButton="0" quotePrefix="0" xfId="6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6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9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6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"/>
  <sheetViews>
    <sheetView tabSelected="1" zoomScale="115" zoomScaleNormal="115" workbookViewId="0">
      <pane ySplit="1" topLeftCell="A4" activePane="bottomLeft" state="frozen"/>
      <selection activeCell="A1" sqref="A1"/>
      <selection pane="bottomLeft" activeCell="J14" sqref="J14"/>
    </sheetView>
  </sheetViews>
  <sheetFormatPr baseColWidth="8" defaultColWidth="9" defaultRowHeight="14.4"/>
  <cols>
    <col width="31.2037037037037" customWidth="1" style="4" min="1" max="1"/>
    <col width="17.3888888888889" customWidth="1" style="4" min="2" max="2"/>
    <col width="13.712962962963" customWidth="1" style="4" min="3" max="4"/>
    <col width="12.0462962962963" customWidth="1" style="4" min="5" max="6"/>
    <col width="9.824074074074071" customWidth="1" style="4" min="7" max="7"/>
    <col width="31.2037037037037" customWidth="1" style="4" min="8" max="8"/>
    <col width="9" customWidth="1" style="4" min="9" max="16384"/>
  </cols>
  <sheetData>
    <row r="1" ht="17.4" customHeight="1" s="32">
      <c r="A1" s="8" t="inlineStr">
        <is>
          <t>测试项</t>
        </is>
      </c>
      <c r="B1" s="8" t="inlineStr">
        <is>
          <t>测试是否通过</t>
        </is>
      </c>
      <c r="C1" s="8" t="inlineStr">
        <is>
          <t>Actual.</t>
        </is>
      </c>
      <c r="D1" s="8" t="inlineStr">
        <is>
          <t>Min.</t>
        </is>
      </c>
      <c r="E1" s="8" t="inlineStr">
        <is>
          <t>Typ.</t>
        </is>
      </c>
      <c r="F1" s="8" t="inlineStr">
        <is>
          <t>Max.</t>
        </is>
      </c>
      <c r="G1" s="8" t="inlineStr">
        <is>
          <t>Unit</t>
        </is>
      </c>
      <c r="H1" s="8" t="inlineStr">
        <is>
          <t>测试过程</t>
        </is>
      </c>
    </row>
    <row r="2" ht="17.4" customFormat="1" customHeight="1" s="4">
      <c r="A2" s="9" t="n"/>
      <c r="B2" s="9" t="n"/>
      <c r="C2" s="9" t="n"/>
      <c r="D2" s="9" t="n"/>
      <c r="E2" s="9" t="n"/>
      <c r="F2" s="9" t="n"/>
      <c r="G2" s="9" t="n"/>
      <c r="H2" s="9" t="n"/>
    </row>
    <row r="3" ht="17.4" customFormat="1" customHeight="1" s="5">
      <c r="A3" s="10" t="inlineStr">
        <is>
          <t>5.1 OS测试</t>
        </is>
      </c>
      <c r="B3" s="11" t="n"/>
      <c r="C3" s="11" t="n"/>
      <c r="D3" s="11" t="n"/>
      <c r="E3" s="11" t="n"/>
      <c r="F3" s="11" t="n"/>
      <c r="G3" s="11" t="n"/>
      <c r="H3" s="10" t="n"/>
    </row>
    <row r="4" ht="22.5" customFormat="1" customHeight="1" s="6">
      <c r="A4" s="12" t="inlineStr">
        <is>
          <t>待测引脚（测试项）</t>
        </is>
      </c>
      <c r="B4" s="13" t="n"/>
      <c r="C4" s="13" t="n"/>
      <c r="D4" s="13" t="inlineStr">
        <is>
          <t>Min.</t>
        </is>
      </c>
      <c r="E4" s="13" t="inlineStr">
        <is>
          <t>Typ.</t>
        </is>
      </c>
      <c r="F4" s="13" t="inlineStr">
        <is>
          <t>Max.</t>
        </is>
      </c>
      <c r="G4" s="13" t="inlineStr">
        <is>
          <t>Unit</t>
        </is>
      </c>
      <c r="H4" s="13" t="inlineStr">
        <is>
          <t>测试过程</t>
        </is>
      </c>
    </row>
    <row r="5" ht="22.5" customFormat="1" customHeight="1" s="6">
      <c r="A5" s="14" t="inlineStr">
        <is>
          <t>VDD15</t>
        </is>
      </c>
      <c r="B5" s="15" t="n"/>
      <c r="C5" s="15" t="n"/>
      <c r="D5" s="15" t="n">
        <v>-0.8</v>
      </c>
      <c r="E5" s="15" t="n"/>
      <c r="F5" s="15" t="n">
        <v>-0.3</v>
      </c>
      <c r="G5" s="15" t="inlineStr">
        <is>
          <t>V</t>
        </is>
      </c>
      <c r="H5" s="16">
        <f>HYPERLINK("#'OS'!A1","OS")</f>
        <v/>
      </c>
      <c r="I5" s="17" t="n"/>
    </row>
    <row r="6" ht="22.5" customFormat="1" customHeight="1" s="6">
      <c r="A6" s="14" t="inlineStr">
        <is>
          <t>P02-P07</t>
        </is>
      </c>
      <c r="B6" s="15" t="n"/>
      <c r="C6" s="15" t="n"/>
      <c r="D6" s="15" t="n">
        <v>-0.8</v>
      </c>
      <c r="E6" s="15" t="n"/>
      <c r="F6" s="15" t="n">
        <v>-0.3</v>
      </c>
      <c r="G6" s="15" t="inlineStr">
        <is>
          <t>V</t>
        </is>
      </c>
      <c r="H6" s="18" t="n"/>
    </row>
    <row r="7" ht="22.5" customFormat="1" customHeight="1" s="6">
      <c r="A7" s="14" t="inlineStr">
        <is>
          <t>P10~P17</t>
        </is>
      </c>
      <c r="B7" s="15" t="n"/>
      <c r="C7" s="15" t="n"/>
      <c r="D7" s="15" t="n">
        <v>-0.8</v>
      </c>
      <c r="E7" s="15" t="n"/>
      <c r="F7" s="15" t="n">
        <v>-0.3</v>
      </c>
      <c r="G7" s="15" t="inlineStr">
        <is>
          <t>V</t>
        </is>
      </c>
      <c r="H7" s="18" t="n"/>
    </row>
    <row r="8" ht="22.5" customFormat="1" customHeight="1" s="6">
      <c r="A8" s="14" t="inlineStr">
        <is>
          <t>P20~P27</t>
        </is>
      </c>
      <c r="B8" s="15" t="n"/>
      <c r="C8" s="15" t="n"/>
      <c r="D8" s="15" t="n">
        <v>-0.8</v>
      </c>
      <c r="E8" s="15" t="n"/>
      <c r="F8" s="15" t="n">
        <v>-0.3</v>
      </c>
      <c r="G8" s="15" t="inlineStr">
        <is>
          <t>V</t>
        </is>
      </c>
      <c r="H8" s="18" t="n"/>
    </row>
    <row r="9" ht="22.5" customFormat="1" customHeight="1" s="6">
      <c r="A9" s="14" t="inlineStr">
        <is>
          <t>P30~P37</t>
        </is>
      </c>
      <c r="B9" s="15" t="n"/>
      <c r="C9" s="15" t="n"/>
      <c r="D9" s="15" t="n">
        <v>-0.8</v>
      </c>
      <c r="E9" s="15" t="n"/>
      <c r="F9" s="15" t="n">
        <v>-0.3</v>
      </c>
      <c r="G9" s="15" t="inlineStr">
        <is>
          <t>V</t>
        </is>
      </c>
      <c r="H9" s="18" t="n"/>
    </row>
    <row r="10" ht="22.5" customFormat="1" customHeight="1" s="6">
      <c r="A10" s="14" t="inlineStr">
        <is>
          <t>P40~P45</t>
        </is>
      </c>
      <c r="B10" s="15" t="n"/>
      <c r="C10" s="15" t="n"/>
      <c r="D10" s="15" t="n">
        <v>-0.8</v>
      </c>
      <c r="E10" s="15" t="n"/>
      <c r="F10" s="15" t="n">
        <v>-0.3</v>
      </c>
      <c r="G10" s="15" t="inlineStr">
        <is>
          <t>V</t>
        </is>
      </c>
      <c r="H10" s="18" t="n"/>
    </row>
    <row r="11" ht="22.5" customFormat="1" customHeight="1" s="6">
      <c r="A11" s="14" t="inlineStr">
        <is>
          <t>VCC_S</t>
        </is>
      </c>
      <c r="B11" s="15" t="n"/>
      <c r="C11" s="15" t="n"/>
      <c r="D11" s="15" t="n">
        <v>-0.8</v>
      </c>
      <c r="E11" s="15" t="n"/>
      <c r="F11" s="15" t="n">
        <v>-0.3</v>
      </c>
      <c r="G11" s="15" t="inlineStr">
        <is>
          <t>V</t>
        </is>
      </c>
      <c r="H11" s="18" t="n"/>
    </row>
    <row r="12" ht="22.5" customFormat="1" customHeight="1" s="6">
      <c r="A12" s="14" t="inlineStr">
        <is>
          <t>HO1</t>
        </is>
      </c>
      <c r="B12" s="15" t="n"/>
      <c r="C12" s="15" t="n"/>
      <c r="D12" s="15" t="n">
        <v>-0.8</v>
      </c>
      <c r="E12" s="15" t="n"/>
      <c r="F12" s="15" t="n">
        <v>-0.3</v>
      </c>
      <c r="G12" s="15" t="inlineStr">
        <is>
          <t>V</t>
        </is>
      </c>
      <c r="H12" s="18" t="n"/>
    </row>
    <row r="13" ht="22.5" customFormat="1" customHeight="1" s="6">
      <c r="A13" s="14" t="inlineStr">
        <is>
          <t>HO2</t>
        </is>
      </c>
      <c r="B13" s="15" t="n"/>
      <c r="C13" s="15" t="n"/>
      <c r="D13" s="15" t="n">
        <v>-0.8</v>
      </c>
      <c r="E13" s="15" t="n"/>
      <c r="F13" s="15" t="n">
        <v>-0.3</v>
      </c>
      <c r="G13" s="15" t="inlineStr">
        <is>
          <t>V</t>
        </is>
      </c>
      <c r="H13" s="18" t="n"/>
    </row>
    <row r="14" ht="22.5" customFormat="1" customHeight="1" s="6">
      <c r="A14" s="14" t="inlineStr">
        <is>
          <t>HO3</t>
        </is>
      </c>
      <c r="B14" s="15" t="n"/>
      <c r="C14" s="15" t="n"/>
      <c r="D14" s="15" t="n">
        <v>-0.8</v>
      </c>
      <c r="E14" s="15" t="n"/>
      <c r="F14" s="15" t="n">
        <v>-0.3</v>
      </c>
      <c r="G14" s="15" t="inlineStr">
        <is>
          <t>V</t>
        </is>
      </c>
      <c r="H14" s="18" t="n"/>
    </row>
    <row r="15" ht="22.5" customFormat="1" customHeight="1" s="6">
      <c r="A15" s="14" t="inlineStr">
        <is>
          <t>LO1</t>
        </is>
      </c>
      <c r="B15" s="15" t="n"/>
      <c r="C15" s="15" t="n"/>
      <c r="D15" s="15" t="n">
        <v>-0.8</v>
      </c>
      <c r="E15" s="15" t="n"/>
      <c r="F15" s="15" t="n">
        <v>-0.3</v>
      </c>
      <c r="G15" s="15" t="inlineStr">
        <is>
          <t>V</t>
        </is>
      </c>
      <c r="H15" s="18" t="n"/>
    </row>
    <row r="16" ht="22.5" customFormat="1" customHeight="1" s="6">
      <c r="A16" s="14" t="inlineStr">
        <is>
          <t>LO2</t>
        </is>
      </c>
      <c r="B16" s="15" t="n"/>
      <c r="C16" s="15" t="n"/>
      <c r="D16" s="15" t="n">
        <v>-0.8</v>
      </c>
      <c r="E16" s="15" t="n"/>
      <c r="F16" s="15" t="n">
        <v>-0.3</v>
      </c>
      <c r="G16" s="15" t="inlineStr">
        <is>
          <t>V</t>
        </is>
      </c>
      <c r="H16" s="18" t="n"/>
    </row>
    <row r="17" ht="22.5" customFormat="1" customHeight="1" s="6">
      <c r="A17" s="14" t="inlineStr">
        <is>
          <t>LO3</t>
        </is>
      </c>
      <c r="B17" s="15" t="n"/>
      <c r="C17" s="15" t="n"/>
      <c r="D17" s="15" t="n">
        <v>-0.8</v>
      </c>
      <c r="E17" s="15" t="n"/>
      <c r="F17" s="15" t="n">
        <v>-0.3</v>
      </c>
      <c r="G17" s="15" t="inlineStr">
        <is>
          <t>V</t>
        </is>
      </c>
      <c r="H17" s="18" t="n"/>
    </row>
    <row r="18" ht="22.5" customFormat="1" customHeight="1" s="6">
      <c r="A18" s="14" t="inlineStr">
        <is>
          <t>VDD5</t>
        </is>
      </c>
      <c r="B18" s="15" t="n"/>
      <c r="C18" s="15" t="n"/>
      <c r="D18" s="15" t="n">
        <v>-0.8</v>
      </c>
      <c r="E18" s="15" t="n"/>
      <c r="F18" s="15" t="n">
        <v>-0.3</v>
      </c>
      <c r="G18" s="15" t="inlineStr">
        <is>
          <t>V</t>
        </is>
      </c>
      <c r="H18" s="18" t="n"/>
    </row>
    <row r="19" ht="22.5" customFormat="1" customHeight="1" s="6">
      <c r="A19" s="14" t="inlineStr">
        <is>
          <t>VDD15</t>
        </is>
      </c>
      <c r="B19" s="15" t="n"/>
      <c r="C19" s="15" t="n"/>
      <c r="D19" s="15" t="n">
        <v>-0.8</v>
      </c>
      <c r="E19" s="15" t="n"/>
      <c r="F19" s="15" t="n">
        <v>-0.3</v>
      </c>
      <c r="G19" s="15" t="inlineStr">
        <is>
          <t>V</t>
        </is>
      </c>
      <c r="H19" s="18" t="n"/>
    </row>
    <row r="20" ht="22.5" customFormat="1" customHeight="1" s="6">
      <c r="A20" s="14" t="inlineStr">
        <is>
          <t>VDD15</t>
        </is>
      </c>
      <c r="B20" s="15" t="n"/>
      <c r="C20" s="15" t="n"/>
      <c r="D20" s="15" t="n">
        <v>-0.8</v>
      </c>
      <c r="E20" s="15" t="n"/>
      <c r="F20" s="15" t="n">
        <v>-0.3</v>
      </c>
      <c r="G20" s="15" t="inlineStr">
        <is>
          <t>V</t>
        </is>
      </c>
      <c r="H20" s="18" t="n"/>
    </row>
    <row r="21" ht="22.5" customFormat="1" customHeight="1" s="6">
      <c r="A21" s="14" t="inlineStr">
        <is>
          <t>P02-P07</t>
        </is>
      </c>
      <c r="B21" s="15" t="n"/>
      <c r="C21" s="15" t="n"/>
      <c r="D21" s="15" t="n">
        <v>-0.8</v>
      </c>
      <c r="E21" s="15" t="n"/>
      <c r="F21" s="15" t="n">
        <v>-0.3</v>
      </c>
      <c r="G21" s="15" t="inlineStr">
        <is>
          <t>V</t>
        </is>
      </c>
      <c r="H21" s="18" t="n"/>
    </row>
    <row r="22" ht="22.5" customFormat="1" customHeight="1" s="6">
      <c r="A22" s="14" t="inlineStr">
        <is>
          <t>P10~P17</t>
        </is>
      </c>
      <c r="B22" s="15" t="n"/>
      <c r="C22" s="15" t="n"/>
      <c r="D22" s="15" t="n">
        <v>-0.8</v>
      </c>
      <c r="E22" s="15" t="n"/>
      <c r="F22" s="15" t="n">
        <v>-0.3</v>
      </c>
      <c r="G22" s="15" t="inlineStr">
        <is>
          <t>V</t>
        </is>
      </c>
      <c r="H22" s="18" t="n"/>
    </row>
    <row r="23" ht="22.5" customFormat="1" customHeight="1" s="6">
      <c r="A23" s="14" t="inlineStr">
        <is>
          <t>P20~P27</t>
        </is>
      </c>
      <c r="B23" s="15" t="n"/>
      <c r="C23" s="15" t="n"/>
      <c r="D23" s="15" t="n">
        <v>-0.8</v>
      </c>
      <c r="E23" s="15" t="n"/>
      <c r="F23" s="15" t="n">
        <v>-0.3</v>
      </c>
      <c r="G23" s="15" t="inlineStr">
        <is>
          <t>V</t>
        </is>
      </c>
      <c r="H23" s="18" t="n"/>
    </row>
    <row r="24" ht="22.5" customFormat="1" customHeight="1" s="6">
      <c r="A24" s="14" t="inlineStr">
        <is>
          <t>P30~P37</t>
        </is>
      </c>
      <c r="B24" s="15" t="n"/>
      <c r="C24" s="15" t="n"/>
      <c r="D24" s="15" t="n">
        <v>-0.8</v>
      </c>
      <c r="E24" s="15" t="n"/>
      <c r="F24" s="15" t="n">
        <v>-0.3</v>
      </c>
      <c r="G24" s="15" t="inlineStr">
        <is>
          <t>V</t>
        </is>
      </c>
      <c r="H24" s="18" t="n"/>
    </row>
    <row r="25" ht="22.5" customFormat="1" customHeight="1" s="6">
      <c r="A25" s="14" t="inlineStr">
        <is>
          <t>P40~P45</t>
        </is>
      </c>
      <c r="B25" s="15" t="n"/>
      <c r="C25" s="15" t="n"/>
      <c r="D25" s="15" t="n">
        <v>-0.8</v>
      </c>
      <c r="E25" s="15" t="n"/>
      <c r="F25" s="15" t="n">
        <v>-0.3</v>
      </c>
      <c r="G25" s="15" t="inlineStr">
        <is>
          <t>V</t>
        </is>
      </c>
      <c r="H25" s="18" t="n"/>
    </row>
    <row r="26" ht="22.5" customFormat="1" customHeight="1" s="6">
      <c r="A26" s="14" t="inlineStr">
        <is>
          <t>VCC_S</t>
        </is>
      </c>
      <c r="B26" s="15" t="n"/>
      <c r="C26" s="15" t="n"/>
      <c r="D26" s="15" t="n">
        <v>-0.8</v>
      </c>
      <c r="E26" s="15" t="n"/>
      <c r="F26" s="15" t="n">
        <v>-0.3</v>
      </c>
      <c r="G26" s="15" t="inlineStr">
        <is>
          <t>V</t>
        </is>
      </c>
      <c r="H26" s="18" t="n"/>
    </row>
    <row r="27" ht="22.5" customFormat="1" customHeight="1" s="6">
      <c r="A27" s="14" t="inlineStr">
        <is>
          <t>HO1</t>
        </is>
      </c>
      <c r="B27" s="15" t="n"/>
      <c r="C27" s="15" t="n"/>
      <c r="D27" s="15" t="n">
        <v>-0.8</v>
      </c>
      <c r="E27" s="15" t="n"/>
      <c r="F27" s="15" t="n">
        <v>-0.3</v>
      </c>
      <c r="G27" s="15" t="inlineStr">
        <is>
          <t>V</t>
        </is>
      </c>
      <c r="H27" s="18" t="n"/>
    </row>
    <row r="28" ht="22.5" customFormat="1" customHeight="1" s="6">
      <c r="A28" s="14" t="inlineStr">
        <is>
          <t>HO2</t>
        </is>
      </c>
      <c r="B28" s="15" t="n"/>
      <c r="C28" s="15" t="n"/>
      <c r="D28" s="15" t="n">
        <v>-0.8</v>
      </c>
      <c r="E28" s="15" t="n"/>
      <c r="F28" s="15" t="n">
        <v>-0.3</v>
      </c>
      <c r="G28" s="15" t="inlineStr">
        <is>
          <t>V</t>
        </is>
      </c>
      <c r="H28" s="18" t="n"/>
    </row>
    <row r="29" ht="22.5" customFormat="1" customHeight="1" s="6">
      <c r="A29" s="14" t="inlineStr">
        <is>
          <t>HO3</t>
        </is>
      </c>
      <c r="B29" s="15" t="n"/>
      <c r="C29" s="15" t="n"/>
      <c r="D29" s="15" t="n">
        <v>-0.8</v>
      </c>
      <c r="E29" s="15" t="n"/>
      <c r="F29" s="15" t="n">
        <v>-0.3</v>
      </c>
      <c r="G29" s="15" t="inlineStr">
        <is>
          <t>V</t>
        </is>
      </c>
      <c r="H29" s="18" t="n"/>
    </row>
    <row r="30" ht="22.5" customFormat="1" customHeight="1" s="6">
      <c r="A30" s="14" t="inlineStr">
        <is>
          <t>LO1</t>
        </is>
      </c>
      <c r="B30" s="15" t="n"/>
      <c r="C30" s="15" t="n"/>
      <c r="D30" s="15" t="n">
        <v>-0.8</v>
      </c>
      <c r="E30" s="15" t="n"/>
      <c r="F30" s="15" t="n">
        <v>-0.3</v>
      </c>
      <c r="G30" s="15" t="inlineStr">
        <is>
          <t>V</t>
        </is>
      </c>
      <c r="H30" s="18" t="n"/>
    </row>
    <row r="31" ht="22.5" customFormat="1" customHeight="1" s="6">
      <c r="A31" s="14" t="inlineStr">
        <is>
          <t>LO2</t>
        </is>
      </c>
      <c r="B31" s="15" t="n"/>
      <c r="C31" s="15" t="n"/>
      <c r="D31" s="15" t="n">
        <v>-0.8</v>
      </c>
      <c r="E31" s="15" t="n"/>
      <c r="F31" s="15" t="n">
        <v>-0.3</v>
      </c>
      <c r="G31" s="15" t="inlineStr">
        <is>
          <t>V</t>
        </is>
      </c>
      <c r="H31" s="18" t="n"/>
    </row>
    <row r="32" ht="22.5" customFormat="1" customHeight="1" s="6">
      <c r="A32" s="14" t="inlineStr">
        <is>
          <t>LO3</t>
        </is>
      </c>
      <c r="B32" s="15" t="n"/>
      <c r="C32" s="15" t="n"/>
      <c r="D32" s="15" t="n">
        <v>-0.8</v>
      </c>
      <c r="E32" s="15" t="n"/>
      <c r="F32" s="15" t="n">
        <v>-0.3</v>
      </c>
      <c r="G32" s="15" t="inlineStr">
        <is>
          <t>V</t>
        </is>
      </c>
      <c r="H32" s="18" t="n"/>
    </row>
    <row r="33" ht="22.5" customFormat="1" customHeight="1" s="6">
      <c r="A33" s="14" t="n"/>
      <c r="B33" s="15" t="n"/>
      <c r="C33" s="15" t="n"/>
      <c r="D33" s="15" t="n">
        <v>-0.8</v>
      </c>
      <c r="E33" s="15" t="n"/>
      <c r="F33" s="15" t="n">
        <v>-0.3</v>
      </c>
      <c r="G33" s="15" t="inlineStr">
        <is>
          <t>V</t>
        </is>
      </c>
      <c r="H33" s="18" t="n"/>
    </row>
    <row r="34" ht="22.5" customFormat="1" customHeight="1" s="6">
      <c r="A34" s="14" t="n"/>
      <c r="B34" s="15" t="n"/>
      <c r="C34" s="15" t="n"/>
      <c r="D34" s="15" t="n">
        <v>-0.8</v>
      </c>
      <c r="E34" s="15" t="n"/>
      <c r="F34" s="15" t="n">
        <v>-0.3</v>
      </c>
      <c r="G34" s="15" t="inlineStr">
        <is>
          <t>V</t>
        </is>
      </c>
      <c r="H34" s="19" t="n"/>
    </row>
    <row r="35" ht="22.5" customFormat="1" customHeight="1" s="6">
      <c r="A35" s="20" t="n"/>
      <c r="B35" s="20" t="n"/>
      <c r="C35" s="20" t="n"/>
      <c r="D35" s="20" t="n"/>
      <c r="E35" s="20" t="n"/>
      <c r="F35" s="20" t="n"/>
      <c r="G35" s="20" t="n"/>
      <c r="H35" s="20" t="n"/>
    </row>
    <row r="36" ht="22.5" customHeight="1" s="32">
      <c r="A36" s="21" t="n"/>
      <c r="B36" s="21" t="n"/>
      <c r="C36" s="21" t="n"/>
      <c r="D36" s="21" t="n"/>
      <c r="E36" s="21" t="n"/>
      <c r="F36" s="21" t="n"/>
      <c r="G36" s="21" t="n"/>
      <c r="H36" s="21" t="n"/>
    </row>
    <row r="37" ht="22.5" customFormat="1" customHeight="1" s="5">
      <c r="A37" s="22" t="inlineStr">
        <is>
          <t>5.2 UVLO_RSTN&amp;UVLO_INT测试</t>
        </is>
      </c>
      <c r="B37" s="22" t="n"/>
      <c r="C37" s="22" t="n"/>
      <c r="D37" s="22" t="n"/>
      <c r="E37" s="22" t="n"/>
      <c r="F37" s="22" t="n"/>
      <c r="G37" s="22" t="n"/>
      <c r="H37" s="22" t="n"/>
    </row>
    <row r="38" ht="22.5" customFormat="1" customHeight="1" s="4">
      <c r="A38" s="23" t="inlineStr">
        <is>
          <t>UVLO_RSTH</t>
        </is>
      </c>
      <c r="B38" s="24" t="n"/>
      <c r="C38" s="23" t="n"/>
      <c r="D38" s="23" t="n">
        <v>3.1</v>
      </c>
      <c r="E38" s="23" t="n"/>
      <c r="F38" s="23" t="n">
        <v>3.3</v>
      </c>
      <c r="G38" s="23" t="inlineStr">
        <is>
          <t>V</t>
        </is>
      </c>
      <c r="H38" s="31">
        <f>HYPERLINK("#'UVLO_RSTH'!A1","UVLO_RSTH")</f>
        <v/>
      </c>
    </row>
    <row r="39" ht="22.5" customFormat="1" customHeight="1" s="4">
      <c r="A39" s="23" t="inlineStr">
        <is>
          <t>UVLO_RST_HYS</t>
        </is>
      </c>
      <c r="B39" s="24" t="n"/>
      <c r="C39" s="23" t="n"/>
      <c r="D39" s="23" t="n">
        <v>0.1</v>
      </c>
      <c r="E39" s="23" t="n"/>
      <c r="F39" s="23" t="n">
        <v>0.3</v>
      </c>
      <c r="G39" s="23" t="n"/>
      <c r="H39" s="31">
        <f>HYPERLINK("#'UVLO_RST_HYS'!A1","UVLO_RST_HYS")</f>
        <v/>
      </c>
    </row>
    <row r="40" ht="22.5" customHeight="1" s="32">
      <c r="A40" s="23" t="inlineStr">
        <is>
          <t>UVLO_INT</t>
        </is>
      </c>
      <c r="B40" s="24" t="n"/>
      <c r="C40" s="23" t="n"/>
      <c r="D40" s="23" t="n">
        <v>4.1</v>
      </c>
      <c r="E40" s="23" t="n"/>
      <c r="F40" s="23" t="n">
        <v>4.3</v>
      </c>
      <c r="G40" s="23" t="inlineStr">
        <is>
          <t>V</t>
        </is>
      </c>
      <c r="H40" s="31">
        <f>HYPERLINK("#'UVLO_INT'!A1","UVLO_INT")</f>
        <v/>
      </c>
    </row>
    <row r="41" ht="22.5" customHeight="1" s="32">
      <c r="A41" s="23" t="inlineStr">
        <is>
          <t>UVLO_INT_HYS</t>
        </is>
      </c>
      <c r="B41" s="24" t="n"/>
      <c r="C41" s="23" t="n"/>
      <c r="D41" s="23" t="n">
        <v>0.1</v>
      </c>
      <c r="E41" s="23" t="n"/>
      <c r="F41" s="23" t="n">
        <v>0.3</v>
      </c>
      <c r="G41" s="23" t="inlineStr">
        <is>
          <t>V</t>
        </is>
      </c>
      <c r="H41" s="31">
        <f>HYPERLINK("#'UVLO_INT_HYS'!A1","UVLO_INT_HYS")</f>
        <v/>
      </c>
    </row>
    <row r="42" ht="22.5" customHeight="1" s="32">
      <c r="A42" s="26" t="n"/>
      <c r="B42" s="26" t="n"/>
      <c r="C42" s="26" t="n"/>
      <c r="D42" s="26" t="n"/>
      <c r="E42" s="26" t="n"/>
      <c r="F42" s="26" t="n"/>
      <c r="G42" s="26" t="n"/>
      <c r="H42" s="26" t="n"/>
    </row>
    <row r="43" ht="22.5" customHeight="1" s="32">
      <c r="A43" s="26" t="n"/>
      <c r="B43" s="26" t="n"/>
      <c r="C43" s="26" t="n"/>
      <c r="D43" s="26" t="n"/>
      <c r="E43" s="26" t="n"/>
      <c r="F43" s="26" t="n"/>
      <c r="G43" s="26" t="n"/>
      <c r="H43" s="26" t="n"/>
    </row>
    <row r="44" ht="22.5" customFormat="1" customHeight="1" s="7">
      <c r="A44" s="27" t="inlineStr">
        <is>
          <t>5.3 OSC33K测试校准</t>
        </is>
      </c>
      <c r="B44" s="27" t="n"/>
      <c r="C44" s="27" t="n"/>
      <c r="D44" s="27" t="n"/>
      <c r="E44" s="27" t="n"/>
      <c r="F44" s="27" t="n"/>
      <c r="G44" s="27" t="n"/>
      <c r="H44" s="27" t="n"/>
    </row>
    <row r="45" ht="22.5" customFormat="1" customHeight="1" s="4">
      <c r="A45" s="23" t="inlineStr">
        <is>
          <t>OSC_33K</t>
        </is>
      </c>
      <c r="B45" s="24" t="inlineStr">
        <is>
          <t>FAIL</t>
        </is>
      </c>
      <c r="C45" s="23" t="n">
        <v>26.414</v>
      </c>
      <c r="D45" s="23" t="n">
        <v>32.44</v>
      </c>
      <c r="E45" s="23" t="n">
        <v>32.768</v>
      </c>
      <c r="F45" s="23" t="n">
        <v>33.095</v>
      </c>
      <c r="G45" s="23" t="inlineStr">
        <is>
          <t>KHz</t>
        </is>
      </c>
      <c r="H45" s="17">
        <f>HYPERLINK("#'OSC_33K'!A1","OSC_33K")</f>
        <v/>
      </c>
    </row>
    <row r="46" ht="22.5" customHeight="1" s="32">
      <c r="A46" s="26" t="n"/>
      <c r="B46" s="26" t="n"/>
      <c r="C46" s="26" t="n"/>
      <c r="D46" s="26" t="n"/>
      <c r="E46" s="26" t="n"/>
      <c r="F46" s="26" t="n"/>
      <c r="G46" s="26" t="n"/>
      <c r="H46" s="26" t="n"/>
    </row>
    <row r="47" ht="22.5" customHeight="1" s="32">
      <c r="A47" s="26" t="n"/>
      <c r="B47" s="26" t="n"/>
      <c r="C47" s="26" t="n"/>
      <c r="D47" s="26" t="n"/>
      <c r="E47" s="26" t="n"/>
      <c r="F47" s="26" t="n"/>
      <c r="G47" s="26" t="n"/>
      <c r="H47" s="26" t="n"/>
    </row>
    <row r="48" ht="22.5" customFormat="1" customHeight="1" s="7">
      <c r="A48" s="27" t="inlineStr">
        <is>
          <t>5.4OSC24M测试校准</t>
        </is>
      </c>
      <c r="B48" s="27" t="n"/>
      <c r="C48" s="27" t="n"/>
      <c r="D48" s="27" t="n"/>
      <c r="E48" s="27" t="n"/>
      <c r="F48" s="27" t="n"/>
      <c r="G48" s="27" t="n"/>
      <c r="H48" s="27" t="n"/>
    </row>
    <row r="49" ht="22.5" customFormat="1" customHeight="1" s="4">
      <c r="A49" s="23" t="inlineStr">
        <is>
          <t>OSC_24M</t>
        </is>
      </c>
      <c r="B49" s="23" t="inlineStr">
        <is>
          <t>FAIL</t>
        </is>
      </c>
      <c r="C49" s="23" t="inlineStr">
        <is>
          <t>测量失败</t>
        </is>
      </c>
      <c r="D49" s="23" t="n">
        <v>11.6015</v>
      </c>
      <c r="E49" s="23" t="n">
        <v>11.7875</v>
      </c>
      <c r="F49" s="23" t="n">
        <v>11.8359</v>
      </c>
      <c r="G49" s="23" t="inlineStr">
        <is>
          <t>KHz</t>
        </is>
      </c>
      <c r="H49" s="17">
        <f>HYPERLINK("#'OSC_24M'!A1","OSC_24M")</f>
        <v/>
      </c>
    </row>
    <row r="50" ht="22.5" customHeight="1" s="32">
      <c r="A50" s="26" t="n"/>
      <c r="B50" s="26" t="n"/>
      <c r="C50" s="26" t="n"/>
      <c r="D50" s="26" t="n"/>
      <c r="E50" s="26" t="n"/>
      <c r="F50" s="26" t="n"/>
      <c r="G50" s="26" t="n"/>
      <c r="H50" s="26" t="n"/>
    </row>
    <row r="51" ht="22.5" customHeight="1" s="32">
      <c r="A51" s="26" t="n"/>
      <c r="B51" s="26" t="n"/>
      <c r="C51" s="26" t="n"/>
      <c r="D51" s="26" t="n"/>
      <c r="E51" s="26" t="n"/>
      <c r="F51" s="26" t="n"/>
      <c r="G51" s="26" t="n"/>
      <c r="H51" s="26" t="n"/>
    </row>
    <row r="52" ht="22.5" customFormat="1" customHeight="1" s="7">
      <c r="A52" s="27" t="inlineStr">
        <is>
          <t>5.5 Normal Mode电流电压测试</t>
        </is>
      </c>
      <c r="B52" s="27" t="n"/>
      <c r="C52" s="27" t="n"/>
      <c r="D52" s="27" t="n"/>
      <c r="E52" s="27" t="n"/>
      <c r="F52" s="27" t="n"/>
      <c r="G52" s="27" t="n"/>
      <c r="H52" s="27" t="n"/>
    </row>
    <row r="53" ht="22.5" customHeight="1" s="32">
      <c r="A53" s="23" t="inlineStr">
        <is>
          <t>INORMAL</t>
        </is>
      </c>
      <c r="B53" s="24" t="n"/>
      <c r="C53" s="23" t="n"/>
      <c r="D53" s="23" t="n"/>
      <c r="E53" s="23" t="n">
        <v>20</v>
      </c>
      <c r="F53" s="23" t="n"/>
      <c r="G53" s="23" t="inlineStr">
        <is>
          <t>mA</t>
        </is>
      </c>
      <c r="H53" s="17">
        <f>HYPERLINK("#'INORMAL'!A1","INORMAL")</f>
        <v/>
      </c>
    </row>
    <row r="54" ht="22.5" customHeight="1" s="32">
      <c r="A54" s="23" t="inlineStr">
        <is>
          <t>ISLEEP</t>
        </is>
      </c>
      <c r="B54" s="24" t="n"/>
      <c r="C54" s="23" t="n"/>
      <c r="D54" s="23" t="n">
        <v>50</v>
      </c>
      <c r="E54" s="23" t="n">
        <v>100</v>
      </c>
      <c r="F54" s="23" t="n">
        <v>200</v>
      </c>
      <c r="G54" s="23" t="inlineStr">
        <is>
          <t>uA</t>
        </is>
      </c>
      <c r="H54" s="31">
        <f>HYPERLINK("#'ISLEEP'!A1","ISLEEP")</f>
        <v/>
      </c>
    </row>
    <row r="55" ht="22.5" customHeight="1" s="32">
      <c r="A55" s="26" t="n"/>
      <c r="B55" s="26" t="n"/>
      <c r="C55" s="26" t="n"/>
      <c r="D55" s="26" t="n"/>
      <c r="E55" s="26" t="n"/>
      <c r="F55" s="26" t="n"/>
      <c r="G55" s="26" t="n"/>
      <c r="H55" s="26" t="n"/>
    </row>
    <row r="56" ht="22.5" customHeight="1" s="32">
      <c r="A56" s="26" t="n"/>
      <c r="B56" s="26" t="n"/>
      <c r="C56" s="26" t="n"/>
      <c r="D56" s="26" t="n"/>
      <c r="E56" s="26" t="n"/>
      <c r="F56" s="26" t="n"/>
      <c r="G56" s="26" t="n"/>
      <c r="H56" s="26" t="n"/>
    </row>
    <row r="57" ht="22.5" customFormat="1" customHeight="1" s="7">
      <c r="A57" s="27" t="inlineStr">
        <is>
          <t>5.6 Bandgap&amp;VPTAT测试TRIM</t>
        </is>
      </c>
      <c r="B57" s="27" t="n"/>
      <c r="C57" s="27" t="n"/>
      <c r="D57" s="27" t="n"/>
      <c r="E57" s="27" t="n"/>
      <c r="F57" s="27" t="n"/>
      <c r="G57" s="27" t="n"/>
      <c r="H57" s="27" t="n"/>
    </row>
    <row r="58" ht="22.5" customFormat="1" customHeight="1" s="4">
      <c r="A58" s="23" t="inlineStr">
        <is>
          <t>VBG</t>
        </is>
      </c>
      <c r="B58" s="24" t="inlineStr">
        <is>
          <t>PASS</t>
        </is>
      </c>
      <c r="C58" s="23" t="n">
        <v>1207.58</v>
      </c>
      <c r="D58" s="23" t="n">
        <v>1190</v>
      </c>
      <c r="E58" s="23" t="n">
        <v>1210</v>
      </c>
      <c r="F58" s="23" t="n">
        <v>1230</v>
      </c>
      <c r="G58" s="23" t="inlineStr">
        <is>
          <t>mV</t>
        </is>
      </c>
      <c r="H58" s="17">
        <f>HYPERLINK("#'VBG'!A1","VBG")</f>
        <v/>
      </c>
    </row>
    <row r="59" ht="22.5" customFormat="1" customHeight="1" s="4">
      <c r="A59" s="23" t="inlineStr">
        <is>
          <t>VPTAT</t>
        </is>
      </c>
      <c r="B59" s="24" t="inlineStr">
        <is>
          <t>PASS</t>
        </is>
      </c>
      <c r="C59" s="23" t="n">
        <v>705.8099999999999</v>
      </c>
      <c r="D59" s="23" t="n"/>
      <c r="E59" s="23" t="n">
        <v>650</v>
      </c>
      <c r="F59" s="23" t="n"/>
      <c r="G59" s="23" t="inlineStr">
        <is>
          <t>mV</t>
        </is>
      </c>
      <c r="H59" s="17">
        <f>HYPERLINK("#'VPTAT'!A1","VPTAT")</f>
        <v/>
      </c>
    </row>
    <row r="60" ht="22.5" customHeight="1" s="32">
      <c r="A60" s="26" t="n"/>
      <c r="B60" s="26" t="n"/>
      <c r="C60" s="26" t="n"/>
      <c r="D60" s="26" t="n"/>
      <c r="E60" s="26" t="n"/>
      <c r="F60" s="26" t="n"/>
      <c r="G60" s="26" t="n"/>
      <c r="H60" s="26" t="n"/>
    </row>
    <row r="61" ht="22.5" customHeight="1" s="32">
      <c r="A61" s="26" t="n"/>
      <c r="B61" s="26" t="n"/>
      <c r="C61" s="26" t="n"/>
      <c r="D61" s="26" t="n"/>
      <c r="E61" s="26" t="n"/>
      <c r="F61" s="26" t="n"/>
      <c r="G61" s="26" t="n"/>
      <c r="H61" s="26" t="n"/>
    </row>
    <row r="62" ht="22.5" customFormat="1" customHeight="1" s="5">
      <c r="A62" s="22" t="inlineStr">
        <is>
          <t>5.7 VREF&amp;VHALF测试TRIM</t>
        </is>
      </c>
      <c r="B62" s="22" t="n"/>
      <c r="C62" s="22" t="n"/>
      <c r="D62" s="22" t="n"/>
      <c r="E62" s="22" t="n"/>
      <c r="F62" s="22" t="n"/>
      <c r="G62" s="22" t="n"/>
      <c r="H62" s="22" t="n"/>
    </row>
    <row r="63" ht="22.5" customFormat="1" customHeight="1" s="4">
      <c r="A63" s="23" t="inlineStr">
        <is>
          <t>VREF</t>
        </is>
      </c>
      <c r="B63" s="24" t="inlineStr">
        <is>
          <t>PASS</t>
        </is>
      </c>
      <c r="C63" s="23" t="n">
        <v>3999.62</v>
      </c>
      <c r="D63" s="23" t="n">
        <v>3995</v>
      </c>
      <c r="E63" s="23" t="n">
        <v>4000</v>
      </c>
      <c r="F63" s="23" t="n">
        <v>4005</v>
      </c>
      <c r="G63" s="23" t="inlineStr">
        <is>
          <t>mV</t>
        </is>
      </c>
      <c r="H63" s="17">
        <f>HYPERLINK("#'VREF'!A1","VREF")</f>
        <v/>
      </c>
    </row>
    <row r="64" ht="22.5" customHeight="1" s="32">
      <c r="A64" s="23" t="inlineStr">
        <is>
          <t>VHALF(这个可以不用测)</t>
        </is>
      </c>
      <c r="B64" s="24" t="n"/>
      <c r="C64" s="23" t="n"/>
      <c r="D64" s="23" t="n">
        <v>1900</v>
      </c>
      <c r="E64" s="23" t="n">
        <v>2000</v>
      </c>
      <c r="F64" s="23" t="n">
        <v>2100</v>
      </c>
      <c r="G64" s="23" t="inlineStr">
        <is>
          <t>mV</t>
        </is>
      </c>
      <c r="H64" s="17">
        <f>HYPERLINK("#'VHALF'!A1","VHALF")</f>
        <v/>
      </c>
    </row>
    <row r="65" ht="22.5" customHeight="1" s="32">
      <c r="A65" s="26" t="n"/>
      <c r="B65" s="26" t="n"/>
      <c r="C65" s="26" t="n"/>
      <c r="D65" s="26" t="n"/>
      <c r="E65" s="26" t="n"/>
      <c r="F65" s="26" t="n"/>
      <c r="G65" s="26" t="n"/>
      <c r="H65" s="26" t="n"/>
    </row>
    <row r="66" ht="22.5" customHeight="1" s="32">
      <c r="A66" s="26" t="n"/>
      <c r="B66" s="26" t="n"/>
      <c r="C66" s="26" t="n"/>
      <c r="D66" s="26" t="n"/>
      <c r="E66" s="26" t="n"/>
      <c r="F66" s="26" t="n"/>
      <c r="G66" s="26" t="n"/>
      <c r="H66" s="26" t="n"/>
    </row>
    <row r="67" ht="22.5" customFormat="1" customHeight="1" s="7">
      <c r="A67" s="27" t="inlineStr">
        <is>
          <t>5.8 DAC0,DAC1测试</t>
        </is>
      </c>
      <c r="B67" s="27" t="n"/>
      <c r="C67" s="27" t="n"/>
      <c r="D67" s="27" t="n"/>
      <c r="E67" s="27" t="n"/>
      <c r="F67" s="27" t="n"/>
      <c r="G67" s="27" t="n"/>
      <c r="H67" s="27" t="n"/>
    </row>
    <row r="68" ht="30" customFormat="1" customHeight="1" s="4">
      <c r="A68" s="23" t="inlineStr">
        <is>
          <t>DAC0_DNL</t>
        </is>
      </c>
      <c r="B68" s="28" t="inlineStr">
        <is>
          <t>FAIL</t>
        </is>
      </c>
      <c r="C68" s="23" t="n">
        <v>2.437</v>
      </c>
      <c r="D68" s="23" t="n">
        <v>-2</v>
      </c>
      <c r="E68" s="23" t="n"/>
      <c r="F68" s="23" t="n">
        <v>2</v>
      </c>
      <c r="G68" s="23" t="inlineStr">
        <is>
          <t>LSB</t>
        </is>
      </c>
      <c r="H68" s="17">
        <f>HYPERLINK("#'DAC0_DNL'!A1","DAC0_DNL")</f>
        <v/>
      </c>
    </row>
    <row r="69" ht="34" customFormat="1" customHeight="1" s="4">
      <c r="A69" s="23" t="inlineStr">
        <is>
          <t>DAC1_DNL</t>
        </is>
      </c>
      <c r="B69" s="24" t="inlineStr">
        <is>
          <t>PASS</t>
        </is>
      </c>
      <c r="C69" s="23" t="n">
        <v>0.573</v>
      </c>
      <c r="D69" s="23" t="n">
        <v>-2</v>
      </c>
      <c r="E69" s="23" t="n"/>
      <c r="F69" s="23" t="n">
        <v>2</v>
      </c>
      <c r="G69" s="23" t="inlineStr">
        <is>
          <t>LSB</t>
        </is>
      </c>
      <c r="H69" s="17">
        <f>HYPERLINK("#'DAC1_DNL'!A1","DAC1_DNL")</f>
        <v/>
      </c>
    </row>
    <row r="70" ht="22.5" customHeight="1" s="32">
      <c r="A70" s="26" t="n"/>
      <c r="B70" s="26" t="n"/>
      <c r="C70" s="26" t="n"/>
      <c r="D70" s="26" t="n"/>
      <c r="E70" s="26" t="n"/>
      <c r="F70" s="26" t="n"/>
      <c r="G70" s="26" t="n"/>
      <c r="H70" s="26" t="n"/>
    </row>
    <row r="71" ht="22.5" customHeight="1" s="32">
      <c r="A71" s="26" t="n"/>
      <c r="B71" s="26" t="n"/>
      <c r="C71" s="26" t="n"/>
      <c r="D71" s="26" t="n"/>
      <c r="E71" s="26" t="n"/>
      <c r="F71" s="26" t="n"/>
      <c r="G71" s="26" t="n"/>
      <c r="H71" s="26" t="n"/>
    </row>
    <row r="72" ht="22.5" customFormat="1" customHeight="1" s="7">
      <c r="A72" s="27" t="inlineStr">
        <is>
          <t>5.9 ADC测试</t>
        </is>
      </c>
      <c r="B72" s="27" t="n"/>
      <c r="C72" s="27" t="n"/>
      <c r="D72" s="27" t="n"/>
      <c r="E72" s="27" t="n"/>
      <c r="F72" s="27" t="n"/>
      <c r="G72" s="27" t="n"/>
      <c r="H72" s="27" t="n"/>
    </row>
    <row r="73" ht="14.25" customHeight="1" s="32">
      <c r="A73" s="23" t="inlineStr">
        <is>
          <t>ADC_DNL</t>
        </is>
      </c>
      <c r="B73" s="24" t="inlineStr">
        <is>
          <t>FAIL</t>
        </is>
      </c>
      <c r="C73" s="23" t="n">
        <v>3067.631</v>
      </c>
      <c r="D73" s="23" t="n">
        <v>-2</v>
      </c>
      <c r="E73" s="23" t="n"/>
      <c r="F73" s="23" t="n">
        <v>2</v>
      </c>
      <c r="G73" s="23" t="inlineStr">
        <is>
          <t>LSB</t>
        </is>
      </c>
      <c r="H73" s="17">
        <f>HYPERLINK("#'ADC_DNL'!A1","ADC_DNL")</f>
        <v/>
      </c>
    </row>
    <row r="74" ht="14.25" customHeight="1" s="32">
      <c r="C74" s="23" t="n"/>
    </row>
    <row r="75" ht="22.5" customHeight="1" s="32">
      <c r="A75" s="26" t="n"/>
      <c r="B75" s="26" t="n"/>
      <c r="C75" s="26" t="n"/>
      <c r="D75" s="26" t="n"/>
      <c r="E75" s="26" t="n"/>
      <c r="F75" s="26" t="n"/>
      <c r="G75" s="26" t="n"/>
      <c r="H75" s="26" t="n"/>
    </row>
    <row r="76" ht="22.5" customHeight="1" s="32">
      <c r="A76" s="26" t="n"/>
      <c r="B76" s="26" t="n"/>
      <c r="C76" s="26" t="n"/>
      <c r="D76" s="26" t="n"/>
      <c r="E76" s="26" t="n"/>
      <c r="F76" s="26" t="n"/>
      <c r="G76" s="26" t="n"/>
      <c r="H76" s="26" t="n"/>
    </row>
    <row r="77" ht="22.5" customFormat="1" customHeight="1" s="7">
      <c r="A77" s="27" t="inlineStr">
        <is>
          <t>5.10 VCC_S测试</t>
        </is>
      </c>
      <c r="B77" s="27" t="n"/>
      <c r="C77" s="27" t="n"/>
      <c r="D77" s="27" t="n"/>
      <c r="E77" s="27" t="n"/>
      <c r="F77" s="27" t="n"/>
      <c r="G77" s="27" t="n"/>
      <c r="H77" s="27" t="n"/>
    </row>
    <row r="78" ht="35" customFormat="1" customHeight="1" s="4">
      <c r="A78" s="23" t="inlineStr">
        <is>
          <t>Voffset</t>
        </is>
      </c>
      <c r="B78" s="24" t="n"/>
      <c r="C78" s="23" t="n"/>
      <c r="D78" s="23" t="n">
        <v>-20</v>
      </c>
      <c r="E78" s="23" t="n"/>
      <c r="F78" s="23" t="n">
        <v>20</v>
      </c>
      <c r="G78" s="23" t="inlineStr">
        <is>
          <t>mV</t>
        </is>
      </c>
      <c r="H78" s="17">
        <f>HYPERLINK("#'Voffset'!A1","Voffset")</f>
        <v/>
      </c>
    </row>
    <row r="79" ht="35" customFormat="1" customHeight="1" s="4">
      <c r="A79" s="23" t="inlineStr">
        <is>
          <t>VS_ERROR</t>
        </is>
      </c>
      <c r="B79" s="24" t="n"/>
      <c r="C79" s="23" t="n"/>
      <c r="D79" s="23" t="n">
        <v>-4</v>
      </c>
      <c r="E79" s="23" t="n"/>
      <c r="F79" s="23" t="n">
        <v>4</v>
      </c>
      <c r="G79" s="23" t="inlineStr">
        <is>
          <t>CODE</t>
        </is>
      </c>
      <c r="H79" s="17">
        <f>HYPERLINK("#'VS_ERROR'!A1","VS_ERROR")</f>
        <v/>
      </c>
    </row>
    <row r="80" ht="22.5" customHeight="1" s="32">
      <c r="A80" s="26" t="n"/>
      <c r="B80" s="26" t="n"/>
      <c r="C80" s="26" t="n"/>
      <c r="D80" s="26" t="n"/>
      <c r="E80" s="26" t="n"/>
      <c r="F80" s="26" t="n"/>
      <c r="G80" s="26" t="n"/>
      <c r="H80" s="26" t="n"/>
    </row>
    <row r="81" ht="22.5" customHeight="1" s="32">
      <c r="A81" s="26" t="n"/>
      <c r="B81" s="26" t="n"/>
      <c r="C81" s="26" t="n"/>
      <c r="D81" s="26" t="n"/>
      <c r="E81" s="26" t="n"/>
      <c r="F81" s="26" t="n"/>
      <c r="G81" s="26" t="n"/>
      <c r="H81" s="26" t="n"/>
    </row>
    <row r="82" ht="22.5" customFormat="1" customHeight="1" s="7">
      <c r="A82" s="27" t="inlineStr">
        <is>
          <t>5.11  PGA+ADC&amp; SH+PGA测试</t>
        </is>
      </c>
      <c r="B82" s="27" t="n"/>
      <c r="C82" s="27" t="n"/>
      <c r="D82" s="27" t="n"/>
      <c r="E82" s="27" t="n"/>
      <c r="F82" s="27" t="n"/>
      <c r="G82" s="27" t="n"/>
      <c r="H82" s="27" t="n"/>
    </row>
    <row r="83" ht="22.5" customFormat="1" customHeight="1" s="4">
      <c r="A83" s="24" t="inlineStr">
        <is>
          <t>VAZ0</t>
        </is>
      </c>
      <c r="B83" s="24" t="n"/>
      <c r="C83" s="23" t="n"/>
      <c r="D83" s="23" t="n">
        <v>1</v>
      </c>
      <c r="E83" s="23" t="n"/>
      <c r="F83" s="23" t="n">
        <v>3</v>
      </c>
      <c r="G83" s="23" t="inlineStr">
        <is>
          <t>V</t>
        </is>
      </c>
      <c r="H83" s="17">
        <f>HYPERLINK("#'VAZ0'!A1","VAZ0")</f>
        <v/>
      </c>
    </row>
    <row r="84" ht="22.5" customFormat="1" customHeight="1" s="4">
      <c r="A84" s="24" t="inlineStr">
        <is>
          <t>VAZ1</t>
        </is>
      </c>
      <c r="B84" s="24" t="n"/>
      <c r="C84" s="23" t="n"/>
      <c r="D84" s="23" t="n">
        <v>1</v>
      </c>
      <c r="E84" s="23" t="n"/>
      <c r="F84" s="23" t="n">
        <v>3</v>
      </c>
      <c r="G84" s="23" t="inlineStr">
        <is>
          <t>V</t>
        </is>
      </c>
      <c r="H84" s="17">
        <f>HYPERLINK("#'VAZ1'!A1","VAZ1")</f>
        <v/>
      </c>
    </row>
    <row r="85" ht="22.5" customFormat="1" customHeight="1" s="4">
      <c r="A85" s="24" t="inlineStr">
        <is>
          <t>VAZ2</t>
        </is>
      </c>
      <c r="B85" s="24" t="n"/>
      <c r="C85" s="23" t="n"/>
      <c r="D85" s="23" t="n">
        <v>1</v>
      </c>
      <c r="E85" s="23" t="n"/>
      <c r="F85" s="23" t="n">
        <v>3</v>
      </c>
      <c r="G85" s="23" t="inlineStr">
        <is>
          <t>V</t>
        </is>
      </c>
      <c r="H85" s="17">
        <f>HYPERLINK("#'VAZ2'!A1","VAZ2")</f>
        <v/>
      </c>
    </row>
    <row r="86" ht="22.5" customFormat="1" customHeight="1" s="4">
      <c r="A86" s="24" t="inlineStr">
        <is>
          <t>IUerror</t>
        </is>
      </c>
      <c r="B86" s="28" t="n"/>
      <c r="C86" s="23" t="n"/>
      <c r="D86" s="23" t="n"/>
      <c r="E86" s="23" t="n"/>
      <c r="F86" s="23" t="n">
        <v>2</v>
      </c>
      <c r="G86" s="23" t="inlineStr">
        <is>
          <t>%</t>
        </is>
      </c>
      <c r="H86" s="17">
        <f>HYPERLINK("#'IUerror'!A1","IUerror")</f>
        <v/>
      </c>
    </row>
    <row r="87" ht="22.5" customHeight="1" s="32">
      <c r="A87" s="24" t="inlineStr">
        <is>
          <t>VUerror</t>
        </is>
      </c>
      <c r="B87" s="24" t="n"/>
      <c r="C87" s="23" t="n"/>
      <c r="D87" s="23" t="n"/>
      <c r="E87" s="23" t="n"/>
      <c r="F87" s="23" t="n">
        <v>2</v>
      </c>
      <c r="G87" s="23" t="inlineStr">
        <is>
          <t>%</t>
        </is>
      </c>
      <c r="H87" s="17">
        <f>HYPERLINK("#'VUerror'!A1","VUerror")</f>
        <v/>
      </c>
    </row>
    <row r="88" ht="22.5" customFormat="1" customHeight="1" s="4">
      <c r="A88" s="24" t="inlineStr">
        <is>
          <t>IVerror</t>
        </is>
      </c>
      <c r="B88" s="28" t="n"/>
      <c r="C88" s="23" t="n"/>
      <c r="D88" s="23" t="n"/>
      <c r="E88" s="23" t="n"/>
      <c r="F88" s="23" t="n">
        <v>2</v>
      </c>
      <c r="G88" s="23" t="inlineStr">
        <is>
          <t>%</t>
        </is>
      </c>
      <c r="H88" s="17">
        <f>HYPERLINK("#'IVerror'!A1","IVerror")</f>
        <v/>
      </c>
    </row>
    <row r="89" ht="22.5" customFormat="1" customHeight="1" s="4">
      <c r="A89" s="24" t="inlineStr">
        <is>
          <t>IWerror</t>
        </is>
      </c>
      <c r="B89" s="28" t="n"/>
      <c r="C89" s="23" t="n"/>
      <c r="D89" s="23" t="n"/>
      <c r="E89" s="23" t="n"/>
      <c r="F89" s="23" t="n">
        <v>2</v>
      </c>
      <c r="G89" s="23" t="inlineStr">
        <is>
          <t>%</t>
        </is>
      </c>
      <c r="H89" s="17">
        <f>HYPERLINK("#'IWerror'!A1","IWerror")</f>
        <v/>
      </c>
    </row>
    <row r="90" ht="22.5" customFormat="1" customHeight="1" s="4">
      <c r="A90" s="24" t="inlineStr">
        <is>
          <t>VWerror</t>
        </is>
      </c>
      <c r="B90" s="28" t="n"/>
      <c r="C90" s="23" t="n"/>
      <c r="D90" s="23" t="n"/>
      <c r="E90" s="23" t="n"/>
      <c r="F90" s="23" t="n">
        <v>2</v>
      </c>
      <c r="G90" s="23" t="inlineStr">
        <is>
          <t>%</t>
        </is>
      </c>
      <c r="H90" s="17">
        <f>HYPERLINK("#'VWerror'!A1","VWerror")</f>
        <v/>
      </c>
    </row>
    <row r="91" ht="22.5" customHeight="1" s="32">
      <c r="A91" s="29" t="n"/>
      <c r="B91" s="21" t="n"/>
      <c r="C91" s="21" t="n"/>
      <c r="D91" s="21" t="n"/>
      <c r="E91" s="21" t="n"/>
      <c r="F91" s="21" t="n"/>
      <c r="G91" s="26" t="n"/>
      <c r="H91" s="29" t="n"/>
    </row>
    <row r="92" ht="22.5" customHeight="1" s="32">
      <c r="A92" s="26" t="n"/>
      <c r="B92" s="26" t="n"/>
      <c r="C92" s="26" t="n"/>
      <c r="D92" s="26" t="n"/>
      <c r="E92" s="26" t="n"/>
      <c r="F92" s="26" t="n"/>
      <c r="G92" s="26" t="n"/>
      <c r="H92" s="26" t="n"/>
    </row>
    <row r="93" ht="22.5" customFormat="1" customHeight="1" s="7">
      <c r="A93" s="27" t="inlineStr">
        <is>
          <t>5.12 COMP测试</t>
        </is>
      </c>
      <c r="B93" s="27" t="n"/>
      <c r="C93" s="27" t="n"/>
      <c r="D93" s="27" t="n"/>
      <c r="E93" s="27" t="n"/>
      <c r="F93" s="27" t="n"/>
      <c r="G93" s="27" t="n"/>
      <c r="H93" s="27" t="n"/>
    </row>
    <row r="94" ht="22.5" customFormat="1" customHeight="1" s="4">
      <c r="A94" s="24" t="inlineStr">
        <is>
          <t>COMP0HYS</t>
        </is>
      </c>
      <c r="B94" s="24" t="inlineStr">
        <is>
          <t>PASS</t>
        </is>
      </c>
      <c r="C94" s="23" t="n">
        <v>-1</v>
      </c>
      <c r="D94" s="23" t="n">
        <v>-2</v>
      </c>
      <c r="E94" s="23" t="n"/>
      <c r="F94" s="23" t="n">
        <v>10</v>
      </c>
      <c r="G94" s="23" t="inlineStr">
        <is>
          <t>mV</t>
        </is>
      </c>
      <c r="H94" s="17">
        <f>HYPERLINK("#'COMP0HYS'!A1","COMP0HYS")</f>
        <v/>
      </c>
    </row>
    <row r="95" ht="22.5" customHeight="1" s="32">
      <c r="A95" s="24" t="inlineStr">
        <is>
          <t>COMP1HYS</t>
        </is>
      </c>
      <c r="B95" s="24" t="inlineStr">
        <is>
          <t>PASS</t>
        </is>
      </c>
      <c r="C95" s="23" t="n">
        <v>-1</v>
      </c>
      <c r="D95" s="23" t="n">
        <v>-2</v>
      </c>
      <c r="E95" s="23" t="n"/>
      <c r="F95" s="23" t="n">
        <v>10</v>
      </c>
      <c r="G95" s="23" t="inlineStr">
        <is>
          <t>mV</t>
        </is>
      </c>
      <c r="H95" s="31">
        <f>HYPERLINK("#'COMP1HYS'!A1","COMP1HYS")</f>
        <v/>
      </c>
    </row>
    <row r="96" ht="22.5" customHeight="1" s="32">
      <c r="A96" s="24" t="inlineStr">
        <is>
          <t>COMP2HYS</t>
        </is>
      </c>
      <c r="B96" s="24" t="inlineStr">
        <is>
          <t>PASS</t>
        </is>
      </c>
      <c r="C96" s="23" t="n">
        <v>4</v>
      </c>
      <c r="D96" s="23" t="n">
        <v>-2</v>
      </c>
      <c r="E96" s="23" t="n"/>
      <c r="F96" s="23" t="n">
        <v>10</v>
      </c>
      <c r="G96" s="23" t="inlineStr">
        <is>
          <t>mV</t>
        </is>
      </c>
      <c r="H96" s="17">
        <f>HYPERLINK("#'COMP2HYS'!A1","COMP2HYS")</f>
        <v/>
      </c>
    </row>
    <row r="97" ht="22.5" customHeight="1" s="32">
      <c r="A97" s="24" t="inlineStr">
        <is>
          <t>COMP4HYS</t>
        </is>
      </c>
      <c r="B97" s="24" t="inlineStr">
        <is>
          <t>FAIL</t>
        </is>
      </c>
      <c r="C97" s="23" t="n">
        <v>-91</v>
      </c>
      <c r="D97" s="23" t="n">
        <v>-20</v>
      </c>
      <c r="E97" s="23" t="n"/>
      <c r="F97" s="23" t="n">
        <v>20</v>
      </c>
      <c r="G97" s="23" t="inlineStr">
        <is>
          <t>mV</t>
        </is>
      </c>
      <c r="H97" s="17">
        <f>HYPERLINK("#'COMP4HYS'!A1","COMP4HYS")</f>
        <v/>
      </c>
    </row>
    <row r="98" ht="22.5" customHeight="1" s="32">
      <c r="A98" s="24" t="inlineStr">
        <is>
          <t>COMP5HYS</t>
        </is>
      </c>
      <c r="B98" s="24" t="inlineStr">
        <is>
          <t>FAIL</t>
        </is>
      </c>
      <c r="C98" s="23" t="n">
        <v>-89</v>
      </c>
      <c r="D98" s="23" t="n">
        <v>-20</v>
      </c>
      <c r="E98" s="23" t="n"/>
      <c r="F98" s="23" t="n">
        <v>20</v>
      </c>
      <c r="G98" s="23" t="inlineStr">
        <is>
          <t>mV</t>
        </is>
      </c>
      <c r="H98" s="17">
        <f>HYPERLINK("#'COMP5HYS'!A1","COMP5HYS")</f>
        <v/>
      </c>
    </row>
    <row r="99" ht="22.5" customFormat="1" customHeight="1" s="4">
      <c r="A99" s="24" t="inlineStr">
        <is>
          <t>COMP0HYS2</t>
        </is>
      </c>
      <c r="B99" s="24" t="n"/>
      <c r="C99" s="23" t="n"/>
      <c r="D99" s="23" t="n">
        <v>-10</v>
      </c>
      <c r="E99" s="23" t="n"/>
      <c r="F99" s="23" t="n">
        <v>10</v>
      </c>
      <c r="G99" s="23" t="inlineStr">
        <is>
          <t>mV</t>
        </is>
      </c>
      <c r="H99" s="17">
        <f>HYPERLINK("#'COMP0HYS2'!A1","COMP0HYS2")</f>
        <v/>
      </c>
    </row>
    <row r="100" ht="22.5" customHeight="1" s="32">
      <c r="A100" s="24" t="inlineStr">
        <is>
          <t>COMP1HYS2</t>
        </is>
      </c>
      <c r="B100" s="24" t="n"/>
      <c r="C100" s="23" t="n"/>
      <c r="D100" s="23" t="n">
        <v>-10</v>
      </c>
      <c r="E100" s="23" t="n"/>
      <c r="F100" s="23" t="n">
        <v>10</v>
      </c>
      <c r="G100" s="23" t="inlineStr">
        <is>
          <t>mV</t>
        </is>
      </c>
      <c r="H100" s="17">
        <f>HYPERLINK("#'COMP1HYS2'!A1","COMP1HYS2")</f>
        <v/>
      </c>
    </row>
    <row r="101" ht="22.5" customHeight="1" s="32">
      <c r="A101" s="24" t="inlineStr">
        <is>
          <t>COMP2HYS2</t>
        </is>
      </c>
      <c r="B101" s="24" t="n"/>
      <c r="C101" s="23" t="n"/>
      <c r="D101" s="23" t="n">
        <v>-10</v>
      </c>
      <c r="E101" s="23" t="n"/>
      <c r="F101" s="23" t="n">
        <v>10</v>
      </c>
      <c r="G101" s="23" t="inlineStr">
        <is>
          <t>mV</t>
        </is>
      </c>
      <c r="H101" s="17">
        <f>HYPERLINK("#'COMP2HYS2'!A1","COMP2HYS2")</f>
        <v/>
      </c>
    </row>
    <row r="102" ht="22.5" customHeight="1" s="32">
      <c r="A102" s="26" t="n"/>
      <c r="B102" s="26" t="n"/>
      <c r="C102" s="26" t="n"/>
      <c r="D102" s="26" t="n"/>
      <c r="E102" s="26" t="n"/>
      <c r="F102" s="26" t="n"/>
      <c r="G102" s="26" t="n"/>
      <c r="H102" s="26" t="n"/>
    </row>
    <row r="103" ht="22.5" customHeight="1" s="32">
      <c r="A103" s="26" t="n"/>
      <c r="B103" s="26" t="n"/>
      <c r="C103" s="26" t="n"/>
      <c r="D103" s="26" t="n"/>
      <c r="E103" s="26" t="n"/>
      <c r="F103" s="26" t="n"/>
      <c r="G103" s="26" t="n"/>
      <c r="H103" s="26" t="n"/>
    </row>
    <row r="104" ht="22.5" customFormat="1" customHeight="1" s="7">
      <c r="A104" s="27" t="inlineStr">
        <is>
          <t>5.13  BEMF电阻测试</t>
        </is>
      </c>
      <c r="B104" s="27" t="n"/>
      <c r="C104" s="27" t="n"/>
      <c r="D104" s="27" t="n"/>
      <c r="E104" s="27" t="n"/>
      <c r="F104" s="27" t="n"/>
      <c r="G104" s="27" t="n"/>
      <c r="H104" s="27" t="n"/>
    </row>
    <row r="105" ht="22.5" customHeight="1" s="32">
      <c r="A105" s="23" t="inlineStr">
        <is>
          <t>RES_BEMF</t>
        </is>
      </c>
      <c r="B105" s="24" t="n"/>
      <c r="C105" s="23" t="n"/>
      <c r="D105" s="23" t="inlineStr">
        <is>
          <t>5.78k</t>
        </is>
      </c>
      <c r="E105" s="23" t="inlineStr">
        <is>
          <t>6.8K</t>
        </is>
      </c>
      <c r="F105" s="23" t="inlineStr">
        <is>
          <t>7.82k</t>
        </is>
      </c>
      <c r="G105" s="23" t="inlineStr">
        <is>
          <t>Ω</t>
        </is>
      </c>
      <c r="H105" s="31">
        <f>HYPERLINK("#'RES_BEMF'!A1","RES_BEMF")</f>
        <v/>
      </c>
    </row>
    <row r="106" ht="22.5" customHeight="1" s="32">
      <c r="A106" s="23" t="inlineStr">
        <is>
          <t>RES_BEMF_ERROR</t>
        </is>
      </c>
      <c r="B106" s="23" t="n"/>
      <c r="C106" s="30" t="n"/>
      <c r="D106" s="30" t="n">
        <v>-0.05</v>
      </c>
      <c r="E106" s="23" t="n"/>
      <c r="F106" s="23" t="n">
        <v>5</v>
      </c>
      <c r="G106" s="23" t="inlineStr">
        <is>
          <t>%</t>
        </is>
      </c>
      <c r="H106" s="31">
        <f>HYPERLINK("#'RES_BEMF_ERROR24M'!A1","RES_BEMF_ERROR")</f>
        <v/>
      </c>
    </row>
    <row r="107" ht="22.5" customHeight="1" s="32">
      <c r="A107" s="26" t="n"/>
      <c r="B107" s="26" t="n"/>
      <c r="C107" s="26" t="n"/>
      <c r="D107" s="26" t="n"/>
      <c r="E107" s="26" t="n"/>
      <c r="F107" s="26" t="n"/>
      <c r="G107" s="26" t="n"/>
      <c r="H107" s="26" t="n"/>
    </row>
    <row r="108" ht="22.5" customHeight="1" s="32">
      <c r="A108" s="26" t="n"/>
      <c r="B108" s="26" t="n"/>
      <c r="C108" s="26" t="n"/>
      <c r="D108" s="26" t="n"/>
      <c r="E108" s="26" t="n"/>
      <c r="F108" s="26" t="n"/>
      <c r="G108" s="26" t="n"/>
      <c r="H108" s="26" t="n"/>
    </row>
    <row r="109" ht="22.5" customFormat="1" customHeight="1" s="7">
      <c r="A109" s="27" t="inlineStr">
        <is>
          <t>5.14  IO测试</t>
        </is>
      </c>
      <c r="B109" s="27" t="n"/>
      <c r="C109" s="27" t="n"/>
      <c r="D109" s="27" t="n"/>
      <c r="E109" s="27" t="n"/>
      <c r="F109" s="27" t="n"/>
      <c r="G109" s="27" t="n"/>
      <c r="H109" s="27" t="n"/>
    </row>
    <row r="110" ht="22.5" customFormat="1" customHeight="1" s="4">
      <c r="A110" s="23" t="inlineStr">
        <is>
          <t>IO-OH</t>
        </is>
      </c>
      <c r="B110" s="23" t="n"/>
      <c r="C110" s="23" t="n"/>
      <c r="D110" s="23" t="n">
        <v>4.3</v>
      </c>
      <c r="E110" s="23" t="n"/>
      <c r="F110" s="23" t="n">
        <v>5.3</v>
      </c>
      <c r="G110" s="23" t="inlineStr">
        <is>
          <t>V</t>
        </is>
      </c>
      <c r="H110" s="17">
        <f>HYPERLINK("#'IO-OH'!A1","IO-OH")</f>
        <v/>
      </c>
    </row>
    <row r="111" ht="22.5" customFormat="1" customHeight="1" s="4">
      <c r="A111" s="23" t="inlineStr">
        <is>
          <t>IO-OL</t>
        </is>
      </c>
      <c r="B111" s="23" t="n"/>
      <c r="C111" s="23" t="n"/>
      <c r="D111" s="23" t="n">
        <v>-0.3</v>
      </c>
      <c r="E111" s="23" t="n"/>
      <c r="F111" s="23" t="n">
        <v>0.7</v>
      </c>
      <c r="G111" s="23" t="inlineStr">
        <is>
          <t>V</t>
        </is>
      </c>
      <c r="H111" s="17">
        <f>HYPERLINK("#'IO-OL'!A1","IO-OL")</f>
        <v/>
      </c>
    </row>
    <row r="112" ht="22.5" customFormat="1" customHeight="1" s="4">
      <c r="A112" s="23" t="inlineStr">
        <is>
          <t>IO-IH</t>
        </is>
      </c>
      <c r="B112" s="23" t="n"/>
      <c r="C112" s="23" t="n"/>
      <c r="D112" s="23" t="n">
        <v>3.5</v>
      </c>
      <c r="E112" s="23" t="n"/>
      <c r="F112" s="23" t="n"/>
      <c r="G112" s="23" t="inlineStr">
        <is>
          <t>V</t>
        </is>
      </c>
      <c r="H112" s="17">
        <f>HYPERLINK("#'IO-IH'!A1","IO-IH")</f>
        <v/>
      </c>
    </row>
    <row r="113" ht="22.5" customFormat="1" customHeight="1" s="4">
      <c r="A113" s="23" t="inlineStr">
        <is>
          <t>IO-IL</t>
        </is>
      </c>
      <c r="B113" s="23" t="n"/>
      <c r="C113" s="23" t="n"/>
      <c r="D113" s="23" t="n"/>
      <c r="E113" s="23" t="n"/>
      <c r="F113" s="23" t="n">
        <v>1.5</v>
      </c>
      <c r="G113" s="23" t="inlineStr">
        <is>
          <t>V</t>
        </is>
      </c>
      <c r="H113" s="17">
        <f>HYPERLINK("#'IO-IL'!A1","IO-IL")</f>
        <v/>
      </c>
    </row>
    <row r="114" ht="22.5" customFormat="1" customHeight="1" s="4">
      <c r="A114" s="23" t="inlineStr">
        <is>
          <t>IO_PU_RES</t>
        </is>
      </c>
      <c r="B114" s="23" t="n"/>
      <c r="C114" s="23" t="n"/>
      <c r="D114" s="23" t="inlineStr">
        <is>
          <t>17k</t>
        </is>
      </c>
      <c r="E114" s="23" t="n"/>
      <c r="F114" s="23" t="inlineStr">
        <is>
          <t>37k</t>
        </is>
      </c>
      <c r="G114" s="23" t="inlineStr">
        <is>
          <t>Ω</t>
        </is>
      </c>
      <c r="H114" s="31">
        <f>HYPERLINK("#'IO_PU_RES'!A1","IO_PU_RES")</f>
        <v/>
      </c>
    </row>
    <row r="115" ht="22.5" customFormat="1" customHeight="1" s="4">
      <c r="A115" s="23" t="inlineStr">
        <is>
          <t>IO_PD_RES</t>
        </is>
      </c>
      <c r="B115" s="23" t="n"/>
      <c r="C115" s="23" t="n"/>
      <c r="D115" s="23" t="inlineStr">
        <is>
          <t>15k</t>
        </is>
      </c>
      <c r="E115" s="23" t="n"/>
      <c r="F115" s="23" t="inlineStr">
        <is>
          <t>39k</t>
        </is>
      </c>
      <c r="G115" s="23" t="inlineStr">
        <is>
          <t>Ω</t>
        </is>
      </c>
      <c r="H115" s="17">
        <f>HYPERLINK("#'IO_PD_RES'!A1","IO_PD_RES")</f>
        <v/>
      </c>
    </row>
    <row r="116" ht="22.5" customHeight="1" s="32">
      <c r="A116" s="26" t="n"/>
      <c r="B116" s="26" t="n"/>
      <c r="C116" s="26" t="n"/>
      <c r="D116" s="26" t="n"/>
      <c r="E116" s="26" t="n"/>
      <c r="F116" s="26" t="n"/>
      <c r="G116" s="26" t="n"/>
      <c r="H116" s="26" t="n"/>
    </row>
    <row r="117" ht="22.5" customHeight="1" s="32">
      <c r="A117" s="26" t="n"/>
      <c r="B117" s="26" t="n"/>
      <c r="C117" s="26" t="n"/>
      <c r="D117" s="26" t="n"/>
      <c r="E117" s="26" t="n"/>
      <c r="F117" s="26" t="n"/>
      <c r="G117" s="26" t="n"/>
      <c r="H117" s="26" t="n"/>
    </row>
    <row r="118" ht="22.5" customFormat="1" customHeight="1" s="7">
      <c r="A118" s="27" t="inlineStr">
        <is>
          <t>5.15 程序测试(需要配合MCU程序测试)</t>
        </is>
      </c>
      <c r="B118" s="27" t="n"/>
      <c r="C118" s="27" t="n"/>
      <c r="D118" s="27" t="n"/>
      <c r="E118" s="27" t="n"/>
      <c r="F118" s="27" t="n"/>
      <c r="G118" s="27" t="n"/>
      <c r="H118" s="27" t="n"/>
    </row>
    <row r="119" ht="22.5" customFormat="1" customHeight="1" s="4">
      <c r="A119" s="23" t="inlineStr">
        <is>
          <t>PWM_H</t>
        </is>
      </c>
      <c r="B119" s="23" t="n"/>
      <c r="C119" s="23" t="n"/>
      <c r="D119" s="23" t="n">
        <v>4.3</v>
      </c>
      <c r="E119" s="23" t="n"/>
      <c r="F119" s="23" t="n">
        <v>5.3</v>
      </c>
      <c r="G119" s="23" t="inlineStr">
        <is>
          <t>V</t>
        </is>
      </c>
      <c r="H119" s="17">
        <f>HYPERLINK("#'PWM_H'!A1","PWM_H")</f>
        <v/>
      </c>
    </row>
    <row r="120" ht="22.5" customHeight="1" s="32">
      <c r="A120" s="23" t="inlineStr">
        <is>
          <t>PWM_L</t>
        </is>
      </c>
      <c r="B120" s="23" t="n"/>
      <c r="C120" s="23" t="n"/>
      <c r="D120" s="23" t="n">
        <v>-0.3</v>
      </c>
      <c r="E120" s="23" t="n"/>
      <c r="F120" s="23" t="n">
        <v>0.7</v>
      </c>
      <c r="G120" s="23" t="inlineStr">
        <is>
          <t>V</t>
        </is>
      </c>
      <c r="H120" s="17">
        <f>HYPERLINK("#'PWM_L'!A1","PWM_L")</f>
        <v/>
      </c>
    </row>
    <row r="121" ht="22.5" customFormat="1" customHeight="1" s="4">
      <c r="A121" s="23" t="inlineStr">
        <is>
          <t>PWM_duty</t>
        </is>
      </c>
      <c r="B121" s="23" t="n"/>
      <c r="C121" s="23" t="n"/>
      <c r="D121" s="23" t="n">
        <v>32</v>
      </c>
      <c r="E121" s="23" t="n">
        <v>33</v>
      </c>
      <c r="F121" s="23" t="n">
        <v>33</v>
      </c>
      <c r="G121" s="23" t="inlineStr">
        <is>
          <t>%</t>
        </is>
      </c>
      <c r="H121" s="17">
        <f>HYPERLINK("#'PWM_duty'!A1","PWM_duty")</f>
        <v/>
      </c>
    </row>
    <row r="122" ht="22.5" customHeight="1" s="32">
      <c r="A122" s="23" t="inlineStr">
        <is>
          <t>PWM_Frequency</t>
        </is>
      </c>
      <c r="B122" s="23" t="n"/>
      <c r="C122" s="23" t="n"/>
      <c r="D122" s="23" t="inlineStr">
        <is>
          <t>49.5K</t>
        </is>
      </c>
      <c r="E122" s="23" t="inlineStr">
        <is>
          <t>50K</t>
        </is>
      </c>
      <c r="F122" s="23" t="inlineStr">
        <is>
          <t>50.5K</t>
        </is>
      </c>
      <c r="G122" s="23" t="inlineStr">
        <is>
          <t>Hz</t>
        </is>
      </c>
      <c r="H122" s="17">
        <f>HYPERLINK("#'PWM_Frequency'!A1","PWM_Frequency")</f>
        <v/>
      </c>
    </row>
    <row r="123" ht="22.5" customFormat="1" customHeight="1" s="4">
      <c r="A123" s="23" t="inlineStr">
        <is>
          <t>FOC运行</t>
        </is>
      </c>
      <c r="B123" s="24" t="n"/>
      <c r="C123" s="23" t="n"/>
      <c r="D123" s="23" t="n"/>
      <c r="E123" s="23" t="n"/>
      <c r="F123" s="23" t="n"/>
      <c r="G123" s="23" t="n"/>
      <c r="H123" s="17">
        <f>HYPERLINK("#'FOC运行'!A1","FOC运行")</f>
        <v/>
      </c>
    </row>
    <row r="124" ht="22.5" customFormat="1" customHeight="1" s="4">
      <c r="A124" s="23" t="inlineStr">
        <is>
          <t>CPU运行</t>
        </is>
      </c>
      <c r="B124" s="23" t="n"/>
      <c r="C124" s="23" t="n"/>
      <c r="D124" s="23" t="n"/>
      <c r="E124" s="23" t="n"/>
      <c r="F124" s="23" t="n"/>
      <c r="G124" s="23" t="n"/>
      <c r="H124" s="31">
        <f>HYPERLINK("#'CPU运行'!A1","CPU运行")</f>
        <v/>
      </c>
    </row>
    <row r="125" ht="22.5" customHeight="1" s="32">
      <c r="A125" s="29" t="inlineStr"/>
      <c r="B125" s="26" t="n"/>
      <c r="C125" s="26" t="n"/>
      <c r="D125" s="26" t="n"/>
      <c r="E125" s="26" t="n"/>
      <c r="F125" s="26" t="n"/>
      <c r="G125" s="26" t="n"/>
      <c r="H125" s="29" t="inlineStr"/>
    </row>
    <row r="126" ht="22.5" customHeight="1" s="32">
      <c r="A126" s="26" t="n"/>
      <c r="B126" s="26" t="n"/>
      <c r="C126" s="26" t="n"/>
      <c r="D126" s="26" t="n"/>
      <c r="E126" s="26" t="n"/>
      <c r="F126" s="26" t="n"/>
      <c r="G126" s="26" t="n"/>
      <c r="H126" s="26" t="n"/>
    </row>
    <row r="127" ht="22.5" customHeight="1" s="32">
      <c r="A127" s="26" t="n"/>
      <c r="B127" s="26" t="n"/>
      <c r="C127" s="26" t="n"/>
      <c r="D127" s="26" t="n"/>
      <c r="E127" s="26" t="n"/>
      <c r="F127" s="26" t="n"/>
      <c r="G127" s="26" t="n"/>
      <c r="H127" s="26" t="n"/>
    </row>
    <row r="128" ht="22.5" customFormat="1" customHeight="1" s="7">
      <c r="A128" s="27" t="inlineStr">
        <is>
          <t>5.16  芯片MTP读写操作</t>
        </is>
      </c>
      <c r="B128" s="27" t="n"/>
      <c r="C128" s="27" t="n"/>
      <c r="D128" s="27" t="n"/>
      <c r="E128" s="27" t="n"/>
      <c r="F128" s="27" t="n"/>
      <c r="G128" s="27" t="n"/>
      <c r="H128" s="27" t="n"/>
    </row>
    <row r="129" ht="121.5" customHeight="1" s="32">
      <c r="A129" s="24" t="inlineStr">
        <is>
          <t>MTP 擦除后为0，写入数据前需要进行擦除操作，不可直接写0。
MTP 包含main block 和 info block，其中main block最后4个page 可单独写保护，info block 擦除需整个block 擦除(写新数据前需进行擦除)。
MTP 上写入的数据包括3部分，bootinfo, 用户程序, FT校准字。
因此，当前存储分配方案如下：
(1)bootinfo 信息和用户程序放置在main block中。
(2)bootinfo 放置在前边，AHB总线采用remap方式访问用户程序，boot中解密时会将整片擦除，在boot中可设置keyword不擦除locked page。
(3)FT 校准字放置在info block 中，boot 解密时对info block中的内容不进行擦除操作。</t>
        </is>
      </c>
      <c r="H129" s="24" t="n"/>
    </row>
    <row r="130" ht="22.5" customHeight="1" s="32">
      <c r="A130" s="26" t="n"/>
      <c r="B130" s="26" t="n"/>
      <c r="C130" s="26" t="n"/>
      <c r="D130" s="26" t="n"/>
      <c r="E130" s="26" t="n"/>
      <c r="F130" s="26" t="n"/>
      <c r="G130" s="26" t="n"/>
      <c r="H130" s="26" t="n"/>
    </row>
    <row r="131" ht="22.5" customHeight="1" s="32">
      <c r="A131" s="26" t="n"/>
      <c r="B131" s="26" t="n"/>
      <c r="C131" s="26" t="n"/>
      <c r="D131" s="26" t="n"/>
      <c r="E131" s="26" t="n"/>
      <c r="F131" s="26" t="n"/>
      <c r="G131" s="26" t="n"/>
      <c r="H131" s="26" t="n"/>
    </row>
    <row r="132" ht="22.5" customFormat="1" customHeight="1" s="7">
      <c r="A132" s="27" t="inlineStr">
        <is>
          <t>5.17 寄存器修调（待定）</t>
        </is>
      </c>
      <c r="B132" s="27" t="n"/>
      <c r="C132" s="27" t="n"/>
      <c r="D132" s="27" t="n"/>
      <c r="E132" s="27" t="n"/>
      <c r="F132" s="27" t="n"/>
      <c r="G132" s="27" t="n"/>
      <c r="H132" s="27" t="n"/>
    </row>
    <row r="133" ht="22.5" customHeight="1" s="32">
      <c r="A133" s="26" t="n"/>
      <c r="B133" s="26" t="n"/>
      <c r="C133" s="26" t="n"/>
      <c r="D133" s="26" t="n"/>
      <c r="E133" s="26" t="n"/>
      <c r="F133" s="26" t="n"/>
      <c r="G133" s="26" t="n"/>
      <c r="H133" s="26" t="n"/>
    </row>
    <row r="134" ht="22.5" customHeight="1" s="32">
      <c r="A134" s="26" t="n"/>
      <c r="B134" s="26" t="n"/>
      <c r="C134" s="26" t="n"/>
      <c r="D134" s="26" t="n"/>
      <c r="E134" s="26" t="n"/>
      <c r="F134" s="26" t="n"/>
      <c r="G134" s="26" t="n"/>
      <c r="H134" s="26" t="n"/>
    </row>
    <row r="135" ht="22.5" customHeight="1" s="32">
      <c r="A135" s="26" t="n"/>
      <c r="B135" s="26" t="n"/>
      <c r="C135" s="26" t="n"/>
      <c r="D135" s="26" t="n"/>
      <c r="E135" s="26" t="n"/>
      <c r="F135" s="26" t="n"/>
      <c r="G135" s="26" t="n"/>
      <c r="H135" s="26" t="n"/>
    </row>
    <row r="136" ht="22.5" customHeight="1" s="32">
      <c r="A136" s="26" t="n"/>
      <c r="B136" s="26" t="n"/>
      <c r="C136" s="26" t="n"/>
      <c r="D136" s="26" t="n"/>
      <c r="E136" s="26" t="n"/>
      <c r="F136" s="26" t="n"/>
      <c r="G136" s="26" t="n"/>
      <c r="H136" s="26" t="n"/>
    </row>
    <row r="137" ht="22.5" customHeight="1" s="32">
      <c r="A137" s="26" t="n"/>
      <c r="B137" s="26" t="n"/>
      <c r="C137" s="26" t="n"/>
      <c r="D137" s="26" t="n"/>
      <c r="E137" s="26" t="n"/>
      <c r="F137" s="26" t="n"/>
      <c r="G137" s="26" t="n"/>
      <c r="H137" s="26" t="n"/>
    </row>
    <row r="138" ht="22.5" customFormat="1" customHeight="1" s="7">
      <c r="A138" s="27" t="inlineStr">
        <is>
          <t>5.18开启写保护（待定）</t>
        </is>
      </c>
      <c r="B138" s="27" t="n"/>
      <c r="C138" s="27" t="n"/>
      <c r="D138" s="27" t="n"/>
      <c r="E138" s="27" t="n"/>
      <c r="F138" s="27" t="n"/>
      <c r="G138" s="27" t="n"/>
      <c r="H138" s="27" t="n"/>
    </row>
    <row r="139" ht="22.5" customHeight="1" s="32">
      <c r="A139" s="26" t="n"/>
      <c r="B139" s="26" t="n"/>
      <c r="C139" s="26" t="n"/>
      <c r="D139" s="26" t="n"/>
      <c r="E139" s="26" t="n"/>
      <c r="F139" s="26" t="n"/>
      <c r="G139" s="26" t="n"/>
      <c r="H139" s="26" t="n"/>
    </row>
    <row r="140" ht="22.5" customHeight="1" s="32">
      <c r="A140" s="26" t="n"/>
      <c r="B140" s="26" t="n"/>
      <c r="C140" s="26" t="n"/>
      <c r="D140" s="26" t="n"/>
      <c r="E140" s="26" t="n"/>
      <c r="F140" s="26" t="n"/>
      <c r="G140" s="26" t="n"/>
      <c r="H140" s="26" t="n"/>
    </row>
    <row r="141" ht="22.5" customHeight="1" s="32">
      <c r="A141" s="26" t="n"/>
      <c r="B141" s="26" t="n"/>
      <c r="C141" s="26" t="n"/>
      <c r="D141" s="26" t="n"/>
      <c r="E141" s="26" t="n"/>
      <c r="F141" s="26" t="n"/>
      <c r="G141" s="26" t="n"/>
      <c r="H141" s="26" t="n"/>
    </row>
    <row r="142" ht="22.5" customHeight="1" s="32">
      <c r="A142" s="26" t="n"/>
      <c r="B142" s="26" t="n"/>
      <c r="C142" s="26" t="n"/>
      <c r="D142" s="26" t="n"/>
      <c r="E142" s="26" t="n"/>
      <c r="F142" s="26" t="n"/>
      <c r="G142" s="26" t="n"/>
      <c r="H142" s="26" t="n"/>
    </row>
    <row r="143" ht="22.5" customFormat="1" customHeight="1" s="7">
      <c r="A143" s="27" t="inlineStr">
        <is>
          <t>5.19分BIN（待定）</t>
        </is>
      </c>
      <c r="B143" s="27" t="n"/>
      <c r="C143" s="27" t="n"/>
      <c r="D143" s="27" t="n"/>
      <c r="E143" s="27" t="n"/>
      <c r="F143" s="27" t="n"/>
      <c r="G143" s="27" t="n"/>
      <c r="H143" s="27" t="n"/>
    </row>
  </sheetData>
  <mergeCells count="9">
    <mergeCell ref="H5:H34"/>
    <mergeCell ref="E73:E74"/>
    <mergeCell ref="A73:A74"/>
    <mergeCell ref="D73:D74"/>
    <mergeCell ref="B73:B74"/>
    <mergeCell ref="H73:H74"/>
    <mergeCell ref="F73:F74"/>
    <mergeCell ref="A129:G129"/>
    <mergeCell ref="G73:G7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J7" sqref="J7"/>
    </sheetView>
  </sheetViews>
  <sheetFormatPr baseColWidth="8" defaultColWidth="9" defaultRowHeight="14.4"/>
  <sheetData>
    <row r="1" ht="54" customFormat="1" customHeight="1" s="2">
      <c r="A1" s="3">
        <f>HYPERLINK("#'汇总一览表'!A1","汇总一览表")</f>
        <v/>
      </c>
    </row>
  </sheetData>
  <mergeCells count="1">
    <mergeCell ref="A1:XFD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4" sqref="A4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E10" sqref="E10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XFD1"/>
  <sheetViews>
    <sheetView workbookViewId="0">
      <selection activeCell="A1" sqref="$A1:$XFD1"/>
    </sheetView>
  </sheetViews>
  <sheetFormatPr baseColWidth="8" defaultColWidth="9" defaultRowHeight="14.4"/>
  <sheetData>
    <row r="1">
      <c r="A1" s="1">
        <f>HYPERLINK("#'汇总一览表'!A1","汇总一览表")</f>
        <v/>
      </c>
    </row>
  </sheetData>
  <mergeCells count="1">
    <mergeCell ref="A1:XF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2026-07-08T04:05:50Z</dcterms:modified>
  <cp:lastModifiedBy>韦仕远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D38DB39E2ACC4BE4B99AA9207C58F7B0_13</vt:lpwstr>
  </property>
  <property name="CalculationRule" fmtid="{D5CDD505-2E9C-101B-9397-08002B2CF9AE}" pid="4">
    <vt:i4 xmlns:vt="http://schemas.openxmlformats.org/officeDocument/2006/docPropsVTypes">0</vt:i4>
  </property>
</Properties>
</file>